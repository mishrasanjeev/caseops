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alysis" sheetId="2" state="visible" r:id="rId2"/>
    <sheet name="Test Evidence" sheetId="3" state="visible" r:id="rId3"/>
    <sheet name="Reopen Audit" sheetId="4" state="visible" r:id="rId4"/>
  </sheets>
  <definedNames>
    <definedName name="_xlnm._FilterDatabase" localSheetId="0" hidden="1">'Summary'!$A$7:$D$10</definedName>
    <definedName name="_xlnm._FilterDatabase" localSheetId="1" hidden="1">'Analysis'!$A$6:$L$8</definedName>
    <definedName name="_xlnm._FilterDatabase" localSheetId="2" hidden="1">'Test Evidence'!$A$6:$F$13</definedName>
    <definedName name="_xlnm._FilterDatabase" localSheetId="3" hidden="1">'Reopen Audit'!$A$6:$C$11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5B6B7A"/>
      <sz val="10"/>
    </font>
    <font>
      <name val="Aptos"/>
      <b val="1"/>
      <color rgb="005B6B7A"/>
      <sz val="10"/>
    </font>
    <font>
      <name val="Aptos Display"/>
      <b val="1"/>
      <color rgb="0017324D"/>
      <sz val="18"/>
    </font>
    <font>
      <name val="Aptos"/>
      <b val="1"/>
      <color rgb="00FFFFFF"/>
      <sz val="10"/>
    </font>
    <font>
      <name val="Aptos"/>
      <color rgb="00243447"/>
      <sz val="10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F0EE"/>
      </patternFill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bottom style="medium">
        <color rgb="0017324D"/>
      </bottom>
    </border>
    <border>
      <bottom style="hair">
        <color rgb="00D6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6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CFCE7"/>
        </patternFill>
      </fill>
    </dxf>
    <dxf>
      <fill>
        <patternFill patternType="solid">
          <fgColor rgb="00FFF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aseOpsAuditItems" displayName="CaseOpsAuditItems" ref="A6:L8" headerRowCount="1">
  <autoFilter ref="A6:L8"/>
  <tableColumns count="12">
    <tableColumn id="1" name="ID"/>
    <tableColumn id="2" name="Record Type"/>
    <tableColumn id="3" name="Module"/>
    <tableColumn id="4" name="Reported Environment"/>
    <tableColumn id="5" name="Classification"/>
    <tableColumn id="6" name="Verdict"/>
    <tableColumn id="7" name="Reported Summary"/>
    <tableColumn id="8" name="Root Cause"/>
    <tableColumn id="9" name="Fix / Decision"/>
    <tableColumn id="10" name="Regression Proof"/>
    <tableColumn id="11" name="Deployment Evidence"/>
    <tableColumn id="12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28" customWidth="1" min="3" max="3"/>
    <col width="70" customWidth="1" min="4" max="4"/>
  </cols>
  <sheetData>
    <row r="1" ht="30" customHeight="1">
      <c r="A1" s="1" t="inlineStr">
        <is>
          <t>CaseOps Bug Fix Summary — Ram 28 Jul 2026</t>
        </is>
      </c>
    </row>
    <row r="2" ht="32" customHeight="1">
      <c r="A2" s="2" t="inlineStr">
        <is>
          <t>One workbook row was reviewed against CaseOps. Verdicts are fail-closed and production credentials/passwords are not recorded.</t>
        </is>
      </c>
    </row>
    <row r="4">
      <c r="A4" s="3" t="inlineStr">
        <is>
          <t>Workbook rows</t>
        </is>
      </c>
      <c r="C4" s="3" t="inlineStr">
        <is>
          <t>Valid CaseOps bugs</t>
        </is>
      </c>
      <c r="E4" s="3" t="inlineStr">
        <is>
          <t>Properly fixed</t>
        </is>
      </c>
      <c r="G4" s="3" t="inlineStr">
        <is>
          <t>Release blockers</t>
        </is>
      </c>
      <c r="I4" s="3" t="inlineStr">
        <is>
          <t>Inconclusive</t>
        </is>
      </c>
    </row>
    <row r="5" ht="34" customHeight="1">
      <c r="A5" s="4">
        <f>COUNTIF('Analysis'!$B$7:$B$8,"Workbook row")</f>
        <v/>
      </c>
      <c r="C5" s="4">
        <f>COUNTIF('Analysis'!$E$7:$E$8,"Valid CaseOps bug")</f>
        <v/>
      </c>
      <c r="E5" s="4">
        <f>COUNTIF('Analysis'!$F$7:$F$8,"Properly fixed")</f>
        <v/>
      </c>
      <c r="G5" s="4">
        <f>COUNTIF('Analysis'!$E$7:$E$8,"Valid release blocker")</f>
        <v/>
      </c>
      <c r="I5" s="4">
        <f>COUNTIF('Analysis'!$F$7:$F$8,"Inconclusive")</f>
        <v/>
      </c>
    </row>
    <row r="7" ht="34" customHeight="1">
      <c r="A7" s="5" t="inlineStr">
        <is>
          <t>Area</t>
        </is>
      </c>
      <c r="B7" s="5" t="inlineStr">
        <is>
          <t>Finding</t>
        </is>
      </c>
      <c r="C7" s="5" t="inlineStr">
        <is>
          <t>Decision</t>
        </is>
      </c>
      <c r="D7" s="5" t="inlineStr">
        <is>
          <t>Evidence / next action</t>
        </is>
      </c>
    </row>
    <row r="8" ht="74" customHeight="1">
      <c r="A8" s="6" t="inlineStr">
        <is>
          <t>BUG-001 scope</t>
        </is>
      </c>
      <c r="B8" s="6" t="inlineStr">
        <is>
          <t>Judge Aliases was implemented but missing from the shared Admin navigation registry.</t>
        </is>
      </c>
      <c r="C8" s="6" t="inlineStr">
        <is>
          <t>Valid bug; properly fixed</t>
        </is>
      </c>
      <c r="D8" s="6" t="inlineStr">
        <is>
          <t>Web candidate 7495bc6 deployed to 100% and production Playwright passed.</t>
        </is>
      </c>
    </row>
    <row r="9" ht="74" customHeight="1">
      <c r="A9" s="6" t="inlineStr">
        <is>
          <t>Regression breadth</t>
        </is>
      </c>
      <c r="B9" s="6" t="inlineStr">
        <is>
          <t>Desktop sidebar and shared mobile drawer now expose the same capability-gated route.</t>
        </is>
      </c>
      <c r="C9" s="6" t="inlineStr">
        <is>
          <t>Covered</t>
        </is>
      </c>
      <c r="D9" s="6" t="inlineStr">
        <is>
          <t>Local and production dated specs assert navigation plus destination page.</t>
        </is>
      </c>
    </row>
    <row r="10" ht="74" customHeight="1">
      <c r="A10" s="6" t="inlineStr">
        <is>
          <t>Full deployment</t>
        </is>
      </c>
      <c r="B10" s="6" t="inlineStr">
        <is>
          <t>The API migration job references missing revision 20260723_0001.</t>
        </is>
      </c>
      <c r="C10" s="6" t="inlineStr">
        <is>
          <t>Release blocker</t>
        </is>
      </c>
      <c r="D10" s="6" t="inlineStr">
        <is>
          <t>Repair migration lineage before the next API deployment; do not bypass the gate.</t>
        </is>
      </c>
    </row>
  </sheetData>
  <autoFilter ref="A7:D10"/>
  <mergeCells count="2">
    <mergeCell ref="A1:J1"/>
    <mergeCell ref="A2:J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26" customWidth="1" min="4" max="4"/>
    <col width="24" customWidth="1" min="5" max="5"/>
    <col width="20" customWidth="1" min="6" max="6"/>
    <col width="56" customWidth="1" min="7" max="7"/>
    <col width="62" customWidth="1" min="8" max="8"/>
    <col width="62" customWidth="1" min="9" max="9"/>
    <col width="62" customWidth="1" min="10" max="10"/>
    <col width="48" customWidth="1" min="11" max="11"/>
    <col width="42" customWidth="1" min="12" max="12"/>
  </cols>
  <sheetData>
    <row r="1" ht="30" customHeight="1">
      <c r="A1" s="1" t="inlineStr">
        <is>
          <t>Item-by-Item Assessment</t>
        </is>
      </c>
    </row>
    <row r="2" ht="32" customHeight="1">
      <c r="A2" s="2" t="inlineStr">
        <is>
          <t>The workbook row is separated from an adjacent release blocker discovered while deploying and revalidating it.</t>
        </is>
      </c>
    </row>
    <row r="6" ht="34" customHeight="1">
      <c r="A6" s="5" t="inlineStr">
        <is>
          <t>ID</t>
        </is>
      </c>
      <c r="B6" s="5" t="inlineStr">
        <is>
          <t>Record Type</t>
        </is>
      </c>
      <c r="C6" s="5" t="inlineStr">
        <is>
          <t>Module</t>
        </is>
      </c>
      <c r="D6" s="5" t="inlineStr">
        <is>
          <t>Reported Environment</t>
        </is>
      </c>
      <c r="E6" s="5" t="inlineStr">
        <is>
          <t>Classification</t>
        </is>
      </c>
      <c r="F6" s="5" t="inlineStr">
        <is>
          <t>Verdict</t>
        </is>
      </c>
      <c r="G6" s="5" t="inlineStr">
        <is>
          <t>Reported Summary</t>
        </is>
      </c>
      <c r="H6" s="5" t="inlineStr">
        <is>
          <t>Root Cause</t>
        </is>
      </c>
      <c r="I6" s="5" t="inlineStr">
        <is>
          <t>Fix / Decision</t>
        </is>
      </c>
      <c r="J6" s="5" t="inlineStr">
        <is>
          <t>Regression Proof</t>
        </is>
      </c>
      <c r="K6" s="5" t="inlineStr">
        <is>
          <t>Deployment Evidence</t>
        </is>
      </c>
      <c r="L6" s="5" t="inlineStr">
        <is>
          <t>Notes</t>
        </is>
      </c>
    </row>
    <row r="7" ht="74" customHeight="1">
      <c r="A7" s="6" t="inlineStr">
        <is>
          <t>BUG-001</t>
        </is>
      </c>
      <c r="B7" s="6" t="inlineStr">
        <is>
          <t>Workbook row</t>
        </is>
      </c>
      <c r="C7" s="6" t="inlineStr">
        <is>
          <t>UI / Navigation</t>
        </is>
      </c>
      <c r="D7" s="6" t="inlineStr">
        <is>
          <t>Admin &amp; Governance</t>
        </is>
      </c>
      <c r="E7" s="6" t="inlineStr">
        <is>
          <t>Valid CaseOps bug</t>
        </is>
      </c>
      <c r="F7" s="6" t="inlineStr">
        <is>
          <t>Properly fixed</t>
        </is>
      </c>
      <c r="G7" s="6" t="inlineStr">
        <is>
          <t>Judge Aliases feature is hidden from the Admin navigation/menu.</t>
        </is>
      </c>
      <c r="H7" s="6" t="inlineStr">
        <is>
          <t>Shared Sidebar NAV registry omitted /app/admin/judge-aliases. The route, API, Admin landing-page action, and page tests already existed.</t>
        </is>
      </c>
      <c r="I7" s="6" t="inlineStr">
        <is>
          <t>Added a capability-gated Judge aliases item to the shared Sidebar registry. Because SidebarBody is reused by the mobile drawer, both surfaces now stay aligned.</t>
        </is>
      </c>
      <c r="J7" s="6" t="inlineStr">
        <is>
          <t>Desktop + mobile navigation and real destination page are covered by tests/e2e/ram-2026-07-28-bugs.spec.ts and tests/e2e/ram-2026-07-28-prod.spec.ts.</t>
        </is>
      </c>
      <c r="K7" s="6" t="inlineStr">
        <is>
          <t>Candidate web image 7495bc6; Cloud Run revision caseops-web-00191-vn9 at 100% traffic.</t>
        </is>
      </c>
      <c r="L7" s="6" t="inlineStr">
        <is>
          <t>Production proof passed with supplied tester account; password intentionally omitted.</t>
        </is>
      </c>
    </row>
    <row r="8" ht="74" customHeight="1">
      <c r="A8" s="6" t="inlineStr">
        <is>
          <t>DEPLOY-GATE-2026-07-28</t>
        </is>
      </c>
      <c r="B8" s="6" t="inlineStr">
        <is>
          <t>Adjacent release finding</t>
        </is>
      </c>
      <c r="C8" s="6" t="inlineStr">
        <is>
          <t>Production migration job cannot locate database revision 20260723_0001.</t>
        </is>
      </c>
      <c r="D8" s="6" t="inlineStr">
        <is>
          <t>Production deployment pipeline</t>
        </is>
      </c>
      <c r="E8" s="6" t="inlineStr">
        <is>
          <t>Valid release blocker</t>
        </is>
      </c>
      <c r="F8" s="6" t="inlineStr">
        <is>
          <t>Inconclusive</t>
        </is>
      </c>
      <c r="G8" s="6" t="inlineStr">
        <is>
          <t>Canonical full deploy was blocked before API rollout because the production database points to an Alembic revision absent from the repository image.</t>
        </is>
      </c>
      <c r="H8" s="6" t="inlineStr">
        <is>
          <t>gcloud run jobs execute caseops-migrate-job failed with exit code 255: Can't locate revision identified by '20260723_0001'.</t>
        </is>
      </c>
      <c r="I8" s="6" t="inlineStr">
        <is>
          <t>Did not bypass the migration gate. Deployed only the web image because BUG-001 is web-only; API traffic was not changed.</t>
        </is>
      </c>
      <c r="J8" s="6" t="inlineStr">
        <is>
          <t>Cloud Run job execution caseops-migrate-job-7mmw2; logs recorded in the deployment audit.</t>
        </is>
      </c>
      <c r="K8" s="6" t="inlineStr">
        <is>
          <t>API image built but not deployed; web-only deployment succeeded.</t>
        </is>
      </c>
      <c r="L8" s="6" t="inlineStr">
        <is>
          <t>Requires migration-lineage repair before the next full API release.</t>
        </is>
      </c>
    </row>
  </sheetData>
  <autoFilter ref="A6:L8"/>
  <mergeCells count="2">
    <mergeCell ref="A2:L2"/>
    <mergeCell ref="A1:L1"/>
  </mergeCells>
  <conditionalFormatting sqref="F7:F8">
    <cfRule type="expression" priority="1" dxfId="0">
      <formula>$F7="Properly fixed"</formula>
    </cfRule>
    <cfRule type="expression" priority="2" dxfId="1">
      <formula>$F7="Inconclusive"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2" customWidth="1" min="3" max="3"/>
    <col width="24" customWidth="1" min="4" max="4"/>
    <col width="68" customWidth="1" min="5" max="5"/>
    <col width="58" customWidth="1" min="6" max="6"/>
  </cols>
  <sheetData>
    <row r="1" ht="30" customHeight="1">
      <c r="A1" s="1" t="inlineStr">
        <is>
          <t>Verification Evidence</t>
        </is>
      </c>
    </row>
    <row r="2" ht="32" customHeight="1">
      <c r="A2" s="2" t="inlineStr">
        <is>
          <t>Every fixed verdict is paired with a repeatable user-visible proof artifact and deployed build identity.</t>
        </is>
      </c>
    </row>
    <row r="6" ht="34" customHeight="1">
      <c r="A6" s="5" t="inlineStr">
        <is>
          <t>Date</t>
        </is>
      </c>
      <c r="B6" s="5" t="inlineStr">
        <is>
          <t>Surface</t>
        </is>
      </c>
      <c r="C6" s="5" t="inlineStr">
        <is>
          <t>Exact proof artifact</t>
        </is>
      </c>
      <c r="D6" s="5" t="inlineStr">
        <is>
          <t>Result</t>
        </is>
      </c>
      <c r="E6" s="5" t="inlineStr">
        <is>
          <t>What it proves</t>
        </is>
      </c>
      <c r="F6" s="5" t="inlineStr">
        <is>
          <t>Limitations / caveat</t>
        </is>
      </c>
    </row>
    <row r="7" ht="74" customHeight="1">
      <c r="A7" s="6" t="inlineStr">
        <is>
          <t>2026-07-28</t>
        </is>
      </c>
      <c r="B7" s="6" t="inlineStr">
        <is>
          <t>Focused web unit</t>
        </is>
      </c>
      <c r="C7" s="6" t="inlineStr">
        <is>
          <t>apps/web/components/app/Sidebar.test.tsx</t>
        </is>
      </c>
      <c r="D7" s="6" t="inlineStr">
        <is>
          <t>PASS: 5/5</t>
        </is>
      </c>
      <c r="E7" s="6" t="inlineStr">
        <is>
          <t>Capability-gated navigation includes Judge aliases for an allowed custom-role capability set.</t>
        </is>
      </c>
      <c r="F7" s="6" t="inlineStr">
        <is>
          <t>Component test is not deployment proof.</t>
        </is>
      </c>
    </row>
    <row r="8" ht="74" customHeight="1">
      <c r="A8" s="6" t="inlineStr">
        <is>
          <t>2026-07-28</t>
        </is>
      </c>
      <c r="B8" s="6" t="inlineStr">
        <is>
          <t>Local Playwright</t>
        </is>
      </c>
      <c r="C8" s="6" t="inlineStr">
        <is>
          <t>tests/e2e/ram-2026-07-28-bugs.spec.ts</t>
        </is>
      </c>
      <c r="D8" s="6" t="inlineStr">
        <is>
          <t>PASS: 1/1</t>
        </is>
      </c>
      <c r="E8" s="6" t="inlineStr">
        <is>
          <t>Fresh local legal tenant: desktop sidebar and 360px mobile drawer both navigate to and render Judge Aliases.</t>
        </is>
      </c>
      <c r="F8" s="6" t="inlineStr">
        <is>
          <t>Local build is not production proof.</t>
        </is>
      </c>
    </row>
    <row r="9" ht="74" customHeight="1">
      <c r="A9" s="6" t="inlineStr">
        <is>
          <t>2026-07-28</t>
        </is>
      </c>
      <c r="B9" s="6" t="inlineStr">
        <is>
          <t>Production pre-deploy Playwright</t>
        </is>
      </c>
      <c r="C9" s="6" t="inlineStr">
        <is>
          <t>tests/e2e/ram-2026-07-28-prod.spec.ts</t>
        </is>
      </c>
      <c r="D9" s="6" t="inlineStr">
        <is>
          <t>FAIL as expected</t>
        </is>
      </c>
      <c r="E9" s="6" t="inlineStr">
        <is>
          <t>Reproduced the original defect: signed-in tester could not find the Judge aliases link before deployment.</t>
        </is>
      </c>
      <c r="F9" s="6" t="inlineStr">
        <is>
          <t>Captured against the old production web revision.</t>
        </is>
      </c>
    </row>
    <row r="10" ht="74" customHeight="1">
      <c r="A10" s="6" t="inlineStr">
        <is>
          <t>2026-07-28</t>
        </is>
      </c>
      <c r="B10" s="6" t="inlineStr">
        <is>
          <t>Cloud Build</t>
        </is>
      </c>
      <c r="C10" s="6" t="inlineStr">
        <is>
          <t>candidate commit 7495bc6; web image digest sha256:d1832f...</t>
        </is>
      </c>
      <c r="D10" s="6" t="inlineStr">
        <is>
          <t>PASS</t>
        </is>
      </c>
      <c r="E10" s="6" t="inlineStr">
        <is>
          <t>Production web artifact built with TypeScript/Next production build and pushed to Artifact Registry.</t>
        </is>
      </c>
      <c r="F10" s="6" t="inlineStr">
        <is>
          <t>API image was also built but not deployed because migration gate failed.</t>
        </is>
      </c>
    </row>
    <row r="11" ht="74" customHeight="1">
      <c r="A11" s="6" t="inlineStr">
        <is>
          <t>2026-07-28</t>
        </is>
      </c>
      <c r="B11" s="6" t="inlineStr">
        <is>
          <t>Production web deployment</t>
        </is>
      </c>
      <c r="C11" s="6" t="inlineStr">
        <is>
          <t>caseops-web-00191-vn9; image tag 7495bc6</t>
        </is>
      </c>
      <c r="D11" s="6" t="inlineStr">
        <is>
          <t>PASS: 100% traffic</t>
        </is>
      </c>
      <c r="E11" s="6" t="inlineStr">
        <is>
          <t>The web-only fix is the live production revision.</t>
        </is>
      </c>
      <c r="F11" s="6" t="inlineStr">
        <is>
          <t>Full canonical API rollout remains blocked by missing Alembic revision 20260723_0001.</t>
        </is>
      </c>
    </row>
    <row r="12" ht="74" customHeight="1">
      <c r="A12" s="6" t="inlineStr">
        <is>
          <t>2026-07-28</t>
        </is>
      </c>
      <c r="B12" s="6" t="inlineStr">
        <is>
          <t>Production Playwright</t>
        </is>
      </c>
      <c r="C12" s="6" t="inlineStr">
        <is>
          <t>tests/e2e/ram-2026-07-28-prod.spec.ts</t>
        </is>
      </c>
      <c r="D12" s="6" t="inlineStr">
        <is>
          <t>PASS: 1/1</t>
        </is>
      </c>
      <c r="E12" s="6" t="inlineStr">
        <is>
          <t>Supplied tester account: desktop sidebar, mobile drawer, destination URL, and Judge Aliases heading all passed on live caseops.ai.</t>
        </is>
      </c>
      <c r="F12" s="6" t="inlineStr">
        <is>
          <t>Password omitted; API health proves availability only. Cloud Run image tag proves web candidate identity.</t>
        </is>
      </c>
    </row>
    <row r="13" ht="74" customHeight="1">
      <c r="A13" s="6" t="inlineStr">
        <is>
          <t>2026-07-28</t>
        </is>
      </c>
      <c r="B13" s="6" t="inlineStr">
        <is>
          <t>Migration gate</t>
        </is>
      </c>
      <c r="C13" s="6" t="inlineStr">
        <is>
          <t>caseops-migrate-job-7mmw2 logs</t>
        </is>
      </c>
      <c r="D13" s="6" t="inlineStr">
        <is>
          <t>BLOCKED: exit 255</t>
        </is>
      </c>
      <c r="E13" s="6" t="inlineStr">
        <is>
          <t>Prevented an unsafe API rollout; logs report missing revision 20260723_0001.</t>
        </is>
      </c>
      <c r="F13" s="6" t="inlineStr">
        <is>
          <t>Requires a separate migration-lineage repair before a full deploy.</t>
        </is>
      </c>
    </row>
  </sheetData>
  <autoFilter ref="A6:F13"/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76" customWidth="1" min="3" max="3"/>
  </cols>
  <sheetData>
    <row r="1" ht="30" customHeight="1">
      <c r="A1" s="1" t="inlineStr">
        <is>
          <t>Why Cases Reopen / Release Drift Audit</t>
        </is>
      </c>
    </row>
    <row r="2" ht="32" customHeight="1">
      <c r="A2" s="2" t="inlineStr">
        <is>
          <t>This batch did not introduce a new lifecycle bug, but the deployment investigation exposed why local fixes can appear to reopen in production.</t>
        </is>
      </c>
    </row>
    <row r="6" ht="34" customHeight="1">
      <c r="A6" s="5" t="inlineStr">
        <is>
          <t>Control</t>
        </is>
      </c>
      <c r="B6" s="5" t="inlineStr">
        <is>
          <t>Finding</t>
        </is>
      </c>
      <c r="C6" s="5" t="inlineStr">
        <is>
          <t>Permanent rule</t>
        </is>
      </c>
    </row>
    <row r="7" ht="74" customHeight="1">
      <c r="A7" s="6" t="inlineStr">
        <is>
          <t>User-visible scope</t>
        </is>
      </c>
      <c r="B7" s="6" t="inlineStr">
        <is>
          <t>A route can exist and be linked from an Admin landing page while still being absent from the primary navigation registry.</t>
        </is>
      </c>
      <c r="C7" s="6" t="inlineStr">
        <is>
          <t>Acceptance tests must start at the actual main navigation and cover desktop plus mobile when they share a primitive.</t>
        </is>
      </c>
    </row>
    <row r="8" ht="74" customHeight="1">
      <c r="A8" s="6" t="inlineStr">
        <is>
          <t>Root cause of BUG-001</t>
        </is>
      </c>
      <c r="B8" s="6" t="inlineStr">
        <is>
          <t>Sidebar NAV omitted /app/admin/judge-aliases; the page/API were already present.</t>
        </is>
      </c>
      <c r="C8" s="6" t="inlineStr">
        <is>
          <t>Maintain one shared navigation registry and a regression that clicks the link and renders the destination.</t>
        </is>
      </c>
    </row>
    <row r="9" ht="74" customHeight="1">
      <c r="A9" s="6" t="inlineStr">
        <is>
          <t>Why fixes appear to reopen</t>
        </is>
      </c>
      <c r="B9" s="6" t="inlineStr">
        <is>
          <t>Previous evidence can prove a local candidate while production continues serving an older or drifted build.</t>
        </is>
      </c>
      <c r="C9" s="6" t="inlineStr">
        <is>
          <t>Pair every fixed verdict with the exact deployed image/revision and the same dated production Playwright spec.</t>
        </is>
      </c>
    </row>
    <row r="10" ht="74" customHeight="1">
      <c r="A10" s="6" t="inlineStr">
        <is>
          <t>Migration lineage</t>
        </is>
      </c>
      <c r="B10" s="6" t="inlineStr">
        <is>
          <t>The full deploy was correctly stopped because production alembic_version points to absent revision 20260723_0001.</t>
        </is>
      </c>
      <c r="C10" s="6" t="inlineStr">
        <is>
          <t>Never bypass the migration job; add release checks that the image contains every revision referenced by production before API rollout.</t>
        </is>
      </c>
    </row>
    <row r="11" ht="74" customHeight="1">
      <c r="A11" s="6" t="inlineStr">
        <is>
          <t>Fail-closed verdict</t>
        </is>
      </c>
      <c r="B11" s="6" t="inlineStr">
        <is>
          <t>The web-only BUG-001 fix passed production, but the overall API/web release was not certified because the migration gate failed.</t>
        </is>
      </c>
      <c r="C11" s="6" t="inlineStr">
        <is>
          <t>Separate item-level proof from release-level GO/NO-GO and record blockers in the summary.</t>
        </is>
      </c>
    </row>
  </sheetData>
  <autoFilter ref="A6:C11"/>
  <mergeCells count="2">
    <mergeCell ref="A1:C1"/>
    <mergeCell ref="A2:C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2026-07-28T14:53:25Z</dcterms:created>
  <dcterms:modified xsi:type="dcterms:W3CDTF">2026-07-28T14:53:25Z</dcterms:modified>
</cp:coreProperties>
</file>