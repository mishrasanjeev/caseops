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 Assessment" sheetId="2" state="visible" r:id="rId2"/>
    <sheet name="Test Evidence" sheetId="3" state="visible" r:id="rId3"/>
    <sheet name="Why Cases Reopen" sheetId="4" state="visible" r:id="rId4"/>
    <sheet name="Regression Matrix" sheetId="5" state="visible" r:id="rId5"/>
    <sheet name="Source Items" sheetId="6" state="visible" r:id="rId6"/>
  </sheets>
  <definedNames>
    <definedName name="_xlnm._FilterDatabase" localSheetId="0" hidden="1">'Summary'!$A$7:$D$11</definedName>
    <definedName name="_xlnm._FilterDatabase" localSheetId="1" hidden="1">'Item Assessment'!$A$6:$L$8</definedName>
    <definedName name="_xlnm._FilterDatabase" localSheetId="2" hidden="1">'Test Evidence'!$A$6:$F$14</definedName>
    <definedName name="_xlnm._FilterDatabase" localSheetId="3" hidden="1">'Why Cases Reopen'!$A$6:$D$12</definedName>
    <definedName name="_xlnm._FilterDatabase" localSheetId="4" hidden="1">'Regression Matrix'!$A$6:$F$11</definedName>
    <definedName name="_xlnm._FilterDatabase" localSheetId="5" hidden="1">'Source Items'!$A$6:$O$8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B6B7A"/>
      <sz val="10"/>
    </font>
    <font>
      <name val="Aptos"/>
      <b val="1"/>
      <color rgb="005B6B7A"/>
      <sz val="10"/>
    </font>
    <font>
      <name val="Aptos Display"/>
      <b val="1"/>
      <color rgb="0017324D"/>
      <sz val="18"/>
    </font>
    <font>
      <name val="Aptos"/>
      <b val="1"/>
      <color rgb="00FFFFFF"/>
      <sz val="10"/>
    </font>
    <font>
      <name val="Aptos"/>
      <color rgb="00243447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F0EE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bottom style="medium">
        <color rgb="0017324D"/>
      </bottom>
    </border>
    <border>
      <bottom style="hair">
        <color rgb="00D6DE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aseOpsRam29Items" displayName="CaseOpsRam29Items" ref="A6:L8" headerRowCount="1">
  <autoFilter ref="A6:L8"/>
  <tableColumns count="12">
    <tableColumn id="1" name="ID"/>
    <tableColumn id="2" name="Reported type"/>
    <tableColumn id="3" name="Module"/>
    <tableColumn id="4" name="Environment"/>
    <tableColumn id="5" name="Classification"/>
    <tableColumn id="6" name="Verdict"/>
    <tableColumn id="7" name="Reported summary"/>
    <tableColumn id="8" name="Root cause"/>
    <tableColumn id="9" name="Fix / disposition"/>
    <tableColumn id="10" name="Regression proof"/>
    <tableColumn id="11" name="Production identity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OpsRam29Evidence" displayName="CaseOpsRam29Evidence" ref="A6:F14" headerRowCount="1">
  <autoFilter ref="A6:F14"/>
  <tableColumns count="6">
    <tableColumn id="1" name="Date"/>
    <tableColumn id="2" name="Surface"/>
    <tableColumn id="3" name="Exact proof artifact"/>
    <tableColumn id="4" name="Result"/>
    <tableColumn id="5" name="What it proves"/>
    <tableColumn id="6" name="Limitations / cave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seOpsRam29ReopenControls" displayName="CaseOpsRam29ReopenControls" ref="A6:D12" headerRowCount="1">
  <autoFilter ref="A6:D12"/>
  <tableColumns count="4">
    <tableColumn id="1" name="Control"/>
    <tableColumn id="2" name="Finding"/>
    <tableColumn id="3" name="Permanent rule"/>
    <tableColumn id="4" name="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eOpsRam29RegressionMatrix" displayName="CaseOpsRam29RegressionMatrix" ref="A6:F11" headerRowCount="1">
  <autoFilter ref="A6:F11"/>
  <tableColumns count="6">
    <tableColumn id="1" name="Regression area"/>
    <tableColumn id="2" name="Exact suite"/>
    <tableColumn id="3" name="Scenario"/>
    <tableColumn id="4" name="Expected invariant"/>
    <tableColumn id="5" name="Environment"/>
    <tableColumn id="6" name="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seOpsRam29SourceItems" displayName="CaseOpsRam29SourceItems" ref="A6:O8" headerRowCount="1">
  <autoFilter ref="A6:O8"/>
  <tableColumns count="15">
    <tableColumn id="1" name="Bug ID"/>
    <tableColumn id="2" name="Severity"/>
    <tableColumn id="3" name="Type"/>
    <tableColumn id="4" name="Module"/>
    <tableColumn id="5" name="Sub Module"/>
    <tableColumn id="6" name="Page URL"/>
    <tableColumn id="7" name="Summary"/>
    <tableColumn id="8" name="Steps to Reproduce"/>
    <tableColumn id="9" name="Expected Result"/>
    <tableColumn id="10" name="Actual Result"/>
    <tableColumn id="11" name="Status"/>
    <tableColumn id="12" name="Environment"/>
    <tableColumn id="13" name="Reported By"/>
    <tableColumn id="14" name="Reported On"/>
    <tableColumn id="15" name="Screens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28" customWidth="1" min="3" max="3"/>
    <col width="72" customWidth="1" min="4" max="4"/>
  </cols>
  <sheetData>
    <row r="1" ht="30" customHeight="1">
      <c r="A1" s="1" t="inlineStr">
        <is>
          <t>CaseOps Bug Fix Summary — Ram 29 Jul 2026</t>
        </is>
      </c>
    </row>
    <row r="2" ht="36" customHeight="1">
      <c r="A2" s="2" t="inlineStr">
        <is>
          <t>Two workbook rows were assessed against the CaseOps repository and live legal tenant. Production credentials are intentionally omitted. Fixed means the exact dated Playwright proof passed after the deployed image/revision was verified.</t>
        </is>
      </c>
    </row>
    <row r="4">
      <c r="A4" s="3" t="inlineStr">
        <is>
          <t>Workbook rows</t>
        </is>
      </c>
      <c r="C4" s="3" t="inlineStr">
        <is>
          <t>Valid bugs</t>
        </is>
      </c>
      <c r="E4" s="3" t="inlineStr">
        <is>
          <t>Fixed / revalidated</t>
        </is>
      </c>
      <c r="G4" s="3" t="inlineStr">
        <is>
          <t>Prod Playwright pass</t>
        </is>
      </c>
      <c r="I4" s="3" t="inlineStr">
        <is>
          <t>Lifecycle result</t>
        </is>
      </c>
    </row>
    <row r="5" ht="34" customHeight="1">
      <c r="A5" s="4">
        <f>COUNTA('Item Assessment'!$A$7:$A$8)</f>
        <v/>
      </c>
      <c r="C5" s="4">
        <f>COUNTIF('Item Assessment'!$E$7:$E$8,"Valid bug")</f>
        <v/>
      </c>
      <c r="E5" s="4">
        <f>COUNTIF('Item Assessment'!$F$7:$F$8,"Fixed / revalidated")</f>
        <v/>
      </c>
      <c r="G5" s="4">
        <f>COUNTIF('Test Evidence'!$D$7:$D$14,"PASS*")</f>
        <v/>
      </c>
      <c r="I5" s="4">
        <f>COUNTIF('Regression Matrix'!$F$7:$F$11,"PASS")</f>
        <v/>
      </c>
    </row>
    <row r="7" ht="36" customHeight="1">
      <c r="A7" s="5" t="inlineStr">
        <is>
          <t>Area</t>
        </is>
      </c>
      <c r="B7" s="5" t="inlineStr">
        <is>
          <t>Finding</t>
        </is>
      </c>
      <c r="C7" s="5" t="inlineStr">
        <is>
          <t>Verdict</t>
        </is>
      </c>
      <c r="D7" s="5" t="inlineStr">
        <is>
          <t>Evidence / next action</t>
        </is>
      </c>
    </row>
    <row r="8" ht="78" customHeight="1">
      <c r="A8" s="6" t="inlineStr">
        <is>
          <t>BUG-001</t>
        </is>
      </c>
      <c r="B8" s="6" t="inlineStr">
        <is>
          <t>Judge Aliases was missing from the shared Admin navigation registry; the page and landing-page action already existed.</t>
        </is>
      </c>
      <c r="C8" s="6" t="inlineStr">
        <is>
          <t>Fixed / revalidated</t>
        </is>
      </c>
      <c r="D8" s="6" t="inlineStr">
        <is>
          <t>Valid bug. Existing shared Sidebar fix retained; live desktop + mobile Playwright passed after fd1238c deployment.</t>
        </is>
      </c>
    </row>
    <row r="9" ht="78" customHeight="1">
      <c r="A9" s="6" t="inlineStr">
        <is>
          <t>BUG-002</t>
        </is>
      </c>
      <c r="B9" s="6" t="inlineStr">
        <is>
          <t>The Admin header nested eight actions inside a non-wrapping flex row; Provider ops extended 3.484px beyond a 360px viewport.</t>
        </is>
      </c>
      <c r="C9" s="6" t="inlineStr">
        <is>
          <t>Fixed / revalidated</t>
        </is>
      </c>
      <c r="D9" s="6" t="inlineStr">
        <is>
          <t>Valid bug. Admin action group and shared PageHeader slot now shrink/wrap; live 360px Playwright passed.</t>
        </is>
      </c>
    </row>
    <row r="10" ht="78" customHeight="1">
      <c r="A10" s="6" t="inlineStr">
        <is>
          <t>Case reopening</t>
        </is>
      </c>
      <c r="B10" s="6" t="inlineStr">
        <is>
          <t>Disposed -&gt; Intake is an intentional controlled transition; unexpected reactivation was not reproduced after deployment.</t>
        </is>
      </c>
      <c r="C10" s="6" t="inlineStr">
        <is>
          <t>Lifecycle revalidated</t>
        </is>
      </c>
      <c r="D10" s="6" t="inlineStr">
        <is>
          <t>Live lifecycle Playwright passed. Generic PATCH, stale writes, child resurrection, and operational-view leakage remained blocked.</t>
        </is>
      </c>
    </row>
    <row r="11" ht="78" customHeight="1">
      <c r="A11" s="6" t="inlineStr">
        <is>
          <t>Release discipline</t>
        </is>
      </c>
      <c r="B11" s="6" t="inlineStr">
        <is>
          <t>The source tree and the running artifact had previously drifted, allowing a stale build to look like a reopened bug.</t>
        </is>
      </c>
      <c r="C11" s="6" t="inlineStr">
        <is>
          <t>Permanent control added</t>
        </is>
      </c>
      <c r="D11" s="6" t="inlineStr">
        <is>
          <t>Exact image tag/revision, migration gate, and same dated production spec are now required evidence.</t>
        </is>
      </c>
    </row>
  </sheetData>
  <autoFilter ref="A7:D11"/>
  <mergeCells count="2">
    <mergeCell ref="A1:J1"/>
    <mergeCell ref="A2:J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32" customWidth="1" min="4" max="4"/>
    <col width="20" customWidth="1" min="5" max="5"/>
    <col width="22" customWidth="1" min="6" max="6"/>
    <col width="54" customWidth="1" min="7" max="7"/>
    <col width="68" customWidth="1" min="8" max="8"/>
    <col width="68" customWidth="1" min="9" max="9"/>
    <col width="64" customWidth="1" min="10" max="10"/>
    <col width="44" customWidth="1" min="11" max="11"/>
    <col width="40" customWidth="1" min="12" max="12"/>
  </cols>
  <sheetData>
    <row r="1" ht="30" customHeight="1">
      <c r="A1" s="1" t="inlineStr">
        <is>
          <t>Item-by-Item Assessment</t>
        </is>
      </c>
    </row>
    <row r="2" ht="36" customHeight="1">
      <c r="A2" s="2" t="inlineStr">
        <is>
          <t>Both source rows are valid CaseOps bugs. BUG-001 was a prior fix revalidation; BUG-002 required the responsive code change in fd1238c.</t>
        </is>
      </c>
    </row>
    <row r="6" ht="36" customHeight="1">
      <c r="A6" s="5" t="inlineStr">
        <is>
          <t>ID</t>
        </is>
      </c>
      <c r="B6" s="5" t="inlineStr">
        <is>
          <t>Reported type</t>
        </is>
      </c>
      <c r="C6" s="5" t="inlineStr">
        <is>
          <t>Module</t>
        </is>
      </c>
      <c r="D6" s="5" t="inlineStr">
        <is>
          <t>Environment</t>
        </is>
      </c>
      <c r="E6" s="5" t="inlineStr">
        <is>
          <t>Classification</t>
        </is>
      </c>
      <c r="F6" s="5" t="inlineStr">
        <is>
          <t>Verdict</t>
        </is>
      </c>
      <c r="G6" s="5" t="inlineStr">
        <is>
          <t>Reported summary</t>
        </is>
      </c>
      <c r="H6" s="5" t="inlineStr">
        <is>
          <t>Root cause</t>
        </is>
      </c>
      <c r="I6" s="5" t="inlineStr">
        <is>
          <t>Fix / disposition</t>
        </is>
      </c>
      <c r="J6" s="5" t="inlineStr">
        <is>
          <t>Regression proof</t>
        </is>
      </c>
      <c r="K6" s="5" t="inlineStr">
        <is>
          <t>Production identity</t>
        </is>
      </c>
      <c r="L6" s="5" t="inlineStr">
        <is>
          <t>Notes</t>
        </is>
      </c>
    </row>
    <row r="7" ht="104" customHeight="1">
      <c r="A7" s="6" t="inlineStr">
        <is>
          <t>BUG-001</t>
        </is>
      </c>
      <c r="B7" s="6" t="inlineStr">
        <is>
          <t>UI / Responsive</t>
        </is>
      </c>
      <c r="C7" s="6" t="inlineStr">
        <is>
          <t>Admin &amp; Governance / Judge Aliases</t>
        </is>
      </c>
      <c r="D7" s="6" t="inlineStr">
        <is>
          <t>Chrome desktop + Android-sized mobile</t>
        </is>
      </c>
      <c r="E7" s="6" t="inlineStr">
        <is>
          <t>Valid bug</t>
        </is>
      </c>
      <c r="F7" s="6" t="inlineStr">
        <is>
          <t>Fixed / revalidated</t>
        </is>
      </c>
      <c r="G7" s="6" t="inlineStr">
        <is>
          <t>[Reopened] Judge Aliases section is hidden/not visible on the Desktop Admin page (Desktop).</t>
        </is>
      </c>
      <c r="H7" s="6" t="inlineStr">
        <is>
          <t>The page, API, and Admin landing action existed, but the shared Sidebar NAV registry omitted /app/admin/judge-aliases. A stale local .next artifact also made the already-fixed source look broken during retest.</t>
        </is>
      </c>
      <c r="I7" s="6" t="inlineStr">
        <is>
          <t>Retained the capability-gated shared Sidebar item. No duplicate page-specific navigation was added. Rebuilt the production web artifact and revalidated both navigation surfaces.</t>
        </is>
      </c>
      <c r="J7" s="6" t="inlineStr">
        <is>
          <t>Local Playwright 2/2; production Playwright BUG-001 PASS after fd1238c. Existing Sidebar unit coverage also passes.</t>
        </is>
      </c>
      <c r="K7" s="6" t="inlineStr">
        <is>
          <t>caseops-web-00194-5qt; image fd1238c; 100% traffic</t>
        </is>
      </c>
      <c r="L7" s="6" t="inlineStr">
        <is>
          <t>Valid bug. The code fix predates this commit; this run closes the revalidation gap.</t>
        </is>
      </c>
    </row>
    <row r="8" ht="104" customHeight="1">
      <c r="A8" s="6" t="inlineStr">
        <is>
          <t>BUG-002</t>
        </is>
      </c>
      <c r="B8" s="6" t="inlineStr">
        <is>
          <t>Responsive UI</t>
        </is>
      </c>
      <c r="C8" s="6" t="inlineStr">
        <is>
          <t>Admin &amp; Governance / Admin landing page</t>
        </is>
      </c>
      <c r="D8" s="6" t="inlineStr">
        <is>
          <t>Chrome Android-sized 360px viewport</t>
        </is>
      </c>
      <c r="E8" s="6" t="inlineStr">
        <is>
          <t>Valid bug</t>
        </is>
      </c>
      <c r="F8" s="6" t="inlineStr">
        <is>
          <t>Fixed / revalidated</t>
        </is>
      </c>
      <c r="G8" s="6" t="inlineStr">
        <is>
          <t>Admin page content is hidden on Android after the Outlook section due to responsive UI issue.</t>
        </is>
      </c>
      <c r="H8" s="6" t="inlineStr">
        <is>
          <t>AdminPage passed a single inner flex row as PageHeader actions. That inner row had no flex-wrap/min-width constraints, so its intrinsic width pushed Provider ops and later actions outside the viewport.</t>
        </is>
      </c>
      <c r="I8" s="6" t="inlineStr">
        <is>
          <t>Added min-w-0/full-width/flex-wrap responsive constraints to the shared PageHeader action slot and Admin action group. This fixes the shared layout boundary rather than hiding individual links.</t>
        </is>
      </c>
      <c r="J8" s="6" t="inlineStr">
        <is>
          <t>Pre-deploy production reproduced Provider ops right edge at 363.484px. Local production-build Playwright 2/2 and post-deploy production Playwright 2/2 passed.</t>
        </is>
      </c>
      <c r="K8" s="6" t="inlineStr">
        <is>
          <t>caseops-web-00194-5qt; image fd1238c; 100% traffic</t>
        </is>
      </c>
      <c r="L8" s="6" t="inlineStr">
        <is>
          <t>No API change; canonical migration/deploy gate still passed.</t>
        </is>
      </c>
    </row>
  </sheetData>
  <autoFilter ref="A6:L8"/>
  <mergeCells count="2">
    <mergeCell ref="A2:L2"/>
    <mergeCell ref="A1:L1"/>
  </mergeCells>
  <conditionalFormatting sqref="F7:F8">
    <cfRule type="expression" priority="1" dxfId="0">
      <formula>$F7="Fixed / revalidated"</formula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6" customWidth="1" min="3" max="3"/>
    <col width="24" customWidth="1" min="4" max="4"/>
    <col width="70" customWidth="1" min="5" max="5"/>
    <col width="58" customWidth="1" min="6" max="6"/>
  </cols>
  <sheetData>
    <row r="1" ht="30" customHeight="1">
      <c r="A1" s="1" t="inlineStr">
        <is>
          <t>Verification Evidence</t>
        </is>
      </c>
    </row>
    <row r="2" ht="36" customHeight="1">
      <c r="A2" s="2" t="inlineStr">
        <is>
          <t>Evidence is separated by surface. Production proof includes the deployed identity and the exact Playwright spec; passwords are not recorded.</t>
        </is>
      </c>
    </row>
    <row r="6" ht="36" customHeight="1">
      <c r="A6" s="5" t="inlineStr">
        <is>
          <t>Date</t>
        </is>
      </c>
      <c r="B6" s="5" t="inlineStr">
        <is>
          <t>Surface</t>
        </is>
      </c>
      <c r="C6" s="5" t="inlineStr">
        <is>
          <t>Exact proof artifact</t>
        </is>
      </c>
      <c r="D6" s="5" t="inlineStr">
        <is>
          <t>Result</t>
        </is>
      </c>
      <c r="E6" s="5" t="inlineStr">
        <is>
          <t>What it proves</t>
        </is>
      </c>
      <c r="F6" s="5" t="inlineStr">
        <is>
          <t>Limitations / caveat</t>
        </is>
      </c>
    </row>
    <row r="7" ht="84" customHeight="1">
      <c r="A7" s="6" t="inlineStr">
        <is>
          <t>2026-07-29</t>
        </is>
      </c>
      <c r="B7" s="6" t="inlineStr">
        <is>
          <t>Focused web unit</t>
        </is>
      </c>
      <c r="C7" s="6" t="inlineStr">
        <is>
          <t>apps/web/components/app/Sidebar.test.tsx + app/app/admin/page.test.tsx</t>
        </is>
      </c>
      <c r="D7" s="6" t="inlineStr">
        <is>
          <t>PASS: 12/12</t>
        </is>
      </c>
      <c r="E7" s="6" t="inlineStr">
        <is>
          <t>Capability filtering, Admin page actions, and existing UI contracts pass.</t>
        </is>
      </c>
      <c r="F7" s="6" t="inlineStr">
        <is>
          <t>Unit tests are not deployment proof.</t>
        </is>
      </c>
    </row>
    <row r="8" ht="84" customHeight="1">
      <c r="A8" s="6" t="inlineStr">
        <is>
          <t>2026-07-29</t>
        </is>
      </c>
      <c r="B8" s="6" t="inlineStr">
        <is>
          <t>Web typecheck/build</t>
        </is>
      </c>
      <c r="C8" s="6" t="inlineStr">
        <is>
          <t>npm run typecheck:web; npm run build:web</t>
        </is>
      </c>
      <c r="D8" s="6" t="inlineStr">
        <is>
          <t>PASS</t>
        </is>
      </c>
      <c r="E8" s="6" t="inlineStr">
        <is>
          <t>Current source typechecks and produces a fresh Next production build.</t>
        </is>
      </c>
      <c r="F8" s="6" t="inlineStr">
        <is>
          <t>Local artifact must still be deployed and rechecked.</t>
        </is>
      </c>
    </row>
    <row r="9" ht="84" customHeight="1">
      <c r="A9" s="6" t="inlineStr">
        <is>
          <t>2026-07-29</t>
        </is>
      </c>
      <c r="B9" s="6" t="inlineStr">
        <is>
          <t>API lifecycle</t>
        </is>
      </c>
      <c r="C9" s="6" t="inlineStr">
        <is>
          <t>apps/api/tests/test_matter_lifecycle.py</t>
        </is>
      </c>
      <c r="D9" s="6" t="inlineStr">
        <is>
          <t>PASS: 16/16</t>
        </is>
      </c>
      <c r="E9" s="6" t="inlineStr">
        <is>
          <t>Terminal-state, CAS, lifecycle endpoint, child neutralization, and legacy-row controls pass.</t>
        </is>
      </c>
      <c r="F9" s="6" t="inlineStr">
        <is>
          <t>SQLite/API test evidence is not live tenant evidence.</t>
        </is>
      </c>
    </row>
    <row r="10" ht="84" customHeight="1">
      <c r="A10" s="6" t="inlineStr">
        <is>
          <t>2026-07-29</t>
        </is>
      </c>
      <c r="B10" s="6" t="inlineStr">
        <is>
          <t>Local Playwright</t>
        </is>
      </c>
      <c r="C10" s="6" t="inlineStr">
        <is>
          <t>tests/e2e/ram-2026-07-29-bugs.spec.ts</t>
        </is>
      </c>
      <c r="D10" s="6" t="inlineStr">
        <is>
          <t>PASS: 2/2</t>
        </is>
      </c>
      <c r="E10" s="6" t="inlineStr">
        <is>
          <t>Judge Aliases desktop/mobile discoverability and all Admin action bounds at 360px pass on a fresh local legal tenant.</t>
        </is>
      </c>
      <c r="F10" s="6" t="inlineStr">
        <is>
          <t>Local proof is not production proof.</t>
        </is>
      </c>
    </row>
    <row r="11" ht="84" customHeight="1">
      <c r="A11" s="6" t="inlineStr">
        <is>
          <t>2026-07-29</t>
        </is>
      </c>
      <c r="B11" s="6" t="inlineStr">
        <is>
          <t>Production pre-deploy Playwright</t>
        </is>
      </c>
      <c r="C11" s="6" t="inlineStr">
        <is>
          <t>tests/e2e/ram-2026-07-29-prod.spec.ts</t>
        </is>
      </c>
      <c r="D11" s="6" t="inlineStr">
        <is>
          <t>PASS: 1/2; BUG-002 FAIL</t>
        </is>
      </c>
      <c r="E11" s="6" t="inlineStr">
        <is>
          <t>BUG-001 passed; BUG-002 reproduced live with Provider ops at 363.484px right edge before deployment.</t>
        </is>
      </c>
      <c r="F11" s="6" t="inlineStr">
        <is>
          <t>This was the reproduction run, not a release sign-off.</t>
        </is>
      </c>
    </row>
    <row r="12" ht="84" customHeight="1">
      <c r="A12" s="6" t="inlineStr">
        <is>
          <t>2026-07-29</t>
        </is>
      </c>
      <c r="B12" s="6" t="inlineStr">
        <is>
          <t>Production deployment</t>
        </is>
      </c>
      <c r="C12" s="6" t="inlineStr">
        <is>
          <t>fd1238c; caseops-api-00214-45z; caseops-web-00194-5qt</t>
        </is>
      </c>
      <c r="D12" s="6" t="inlineStr">
        <is>
          <t>PASS</t>
        </is>
      </c>
      <c r="E12" s="6" t="inlineStr">
        <is>
          <t>Cloud Build, migration job, recurring job repinning, 100% traffic, staleness sweep, health, and clamAV sidecar guard passed.</t>
        </is>
      </c>
      <c r="F12" s="6" t="inlineStr">
        <is>
          <t>Health is availability evidence; image/revision is the release identity.</t>
        </is>
      </c>
    </row>
    <row r="13" ht="84" customHeight="1">
      <c r="A13" s="6" t="inlineStr">
        <is>
          <t>2026-07-29</t>
        </is>
      </c>
      <c r="B13" s="6" t="inlineStr">
        <is>
          <t>Production Playwright</t>
        </is>
      </c>
      <c r="C13" s="6" t="inlineStr">
        <is>
          <t>tests/e2e/ram-2026-07-29-prod.spec.ts</t>
        </is>
      </c>
      <c r="D13" s="6" t="inlineStr">
        <is>
          <t>PASS: 2/2</t>
        </is>
      </c>
      <c r="E13" s="6" t="inlineStr">
        <is>
          <t>Supplied tester account passed both workbook regressions after fd1238c reached 100% traffic.</t>
        </is>
      </c>
      <c r="F13" s="6" t="inlineStr">
        <is>
          <t>Production credentials omitted from this workbook.</t>
        </is>
      </c>
    </row>
    <row r="14" ht="84" customHeight="1">
      <c r="A14" s="6" t="inlineStr">
        <is>
          <t>2026-07-29</t>
        </is>
      </c>
      <c r="B14" s="6" t="inlineStr">
        <is>
          <t>Production lifecycle Playwright</t>
        </is>
      </c>
      <c r="C14" s="6" t="inlineStr">
        <is>
          <t>tests/e2e/ram-2026-07-15-prod.spec.ts</t>
        </is>
      </c>
      <c r="D14" s="6" t="inlineStr">
        <is>
          <t>PASS: 3/3</t>
        </is>
      </c>
      <c r="E14" s="6" t="inlineStr">
        <is>
          <t>Active creation, notice flow, and full dispose/reopen lifecycle passed; stale writes and resurrection stayed blocked.</t>
        </is>
      </c>
      <c r="F14" s="6" t="inlineStr">
        <is>
          <t>Created test records were returned to terminal state by the suite's cleanup.</t>
        </is>
      </c>
    </row>
  </sheetData>
  <autoFilter ref="A6:F14"/>
  <mergeCells count="2">
    <mergeCell ref="A2:F2"/>
    <mergeCell ref="A1:F1"/>
  </mergeCells>
  <conditionalFormatting sqref="D7:D14">
    <cfRule type="expression" priority="1" dxfId="0">
      <formula>LEFT($D7,4)="PASS"</formula>
    </cfRule>
    <cfRule type="expression" priority="2" dxfId="1">
      <formula>ISNUMBER(SEARCH("FAIL",$D7))</formula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72" customWidth="1" min="3" max="3"/>
    <col width="58" customWidth="1" min="4" max="4"/>
  </cols>
  <sheetData>
    <row r="1" ht="30" customHeight="1">
      <c r="A1" s="1" t="inlineStr">
        <is>
          <t>Why Cases Reopen</t>
        </is>
      </c>
    </row>
    <row r="2" ht="36" customHeight="1">
      <c r="A2" s="2" t="inlineStr">
        <is>
          <t>Brutal analysis: distinguish intentional lifecycle reopening from release drift and from child/status resurrection.</t>
        </is>
      </c>
    </row>
    <row r="6" ht="36" customHeight="1">
      <c r="A6" s="5" t="inlineStr">
        <is>
          <t>Control</t>
        </is>
      </c>
      <c r="B6" s="5" t="inlineStr">
        <is>
          <t>Finding</t>
        </is>
      </c>
      <c r="C6" s="5" t="inlineStr">
        <is>
          <t>Permanent rule</t>
        </is>
      </c>
      <c r="D6" s="5" t="inlineStr">
        <is>
          <t>Evidence</t>
        </is>
      </c>
    </row>
    <row r="7" ht="92" customHeight="1">
      <c r="A7" s="6" t="inlineStr">
        <is>
          <t>Intentional transition</t>
        </is>
      </c>
      <c r="B7" s="6" t="inlineStr">
        <is>
          <t>Disposed -&gt; Intake is a controlled product action, not an accidental reopen.</t>
        </is>
      </c>
      <c r="C7" s="6" t="inlineStr">
        <is>
          <t>Only the dedicated lifecycle endpoint may perform it; it requires expected status, updated_at, reason, and archive capability.</t>
        </is>
      </c>
      <c r="D7" s="6" t="inlineStr">
        <is>
          <t>Production lifecycle spec PASS.</t>
        </is>
      </c>
    </row>
    <row r="8" ht="92" customHeight="1">
      <c r="A8" s="6" t="inlineStr">
        <is>
          <t>Generic metadata writes</t>
        </is>
      </c>
      <c r="B8" s="6" t="inlineStr">
        <is>
          <t>A stale browser or generic PATCH must not replay Active after disposal.</t>
        </is>
      </c>
      <c r="C8" s="6" t="inlineStr">
        <is>
          <t>Lock the parent and reject inactive/terminal metadata writes plus stale CAS tokens with HTTP 409.</t>
        </is>
      </c>
      <c r="D8" s="6" t="inlineStr">
        <is>
          <t>Production lifecycle stale-write and generic reactivation assertions PASS.</t>
        </is>
      </c>
    </row>
    <row r="9" ht="92" customHeight="1">
      <c r="A9" s="6" t="inlineStr">
        <is>
          <t>Child resurrection</t>
        </is>
      </c>
      <c r="B9" s="6" t="inlineStr">
        <is>
          <t>Tasks, deadlines, hearings, reminders, and provider rows can make a disposed case look operational even when the parent is terminal.</t>
        </is>
      </c>
      <c r="C9" s="6" t="inlineStr">
        <is>
          <t>Dispose/reopen neutralizes open children, sets durable external tombstones, and blocks resurrection patches.</t>
        </is>
      </c>
      <c r="D9" s="6" t="inlineStr">
        <is>
          <t>Production lifecycle child suppression/resurrection assertions PASS.</t>
        </is>
      </c>
    </row>
    <row r="10" ht="92" customHeight="1">
      <c r="A10" s="6" t="inlineStr">
        <is>
          <t>Release drift</t>
        </is>
      </c>
      <c r="B10" s="6" t="inlineStr">
        <is>
          <t>A source fix can appear reopened when a stale .next or Cloud Run image is serving old code.</t>
        </is>
      </c>
      <c r="C10" s="6" t="inlineStr">
        <is>
          <t>Build current source, verify exact image/revision, and run the same dated Playwright spec after deployment.</t>
        </is>
      </c>
      <c r="D10" s="6" t="inlineStr">
        <is>
          <t>Local stale-build failure + Cloud Run fd1238c staleness sweep PASS.</t>
        </is>
      </c>
    </row>
    <row r="11" ht="92" customHeight="1">
      <c r="A11" s="6" t="inlineStr">
        <is>
          <t>Responsive drift</t>
        </is>
      </c>
      <c r="B11" s="6" t="inlineStr">
        <is>
          <t>A nested flex row can hide later controls only at mobile widths while desktop appears healthy.</t>
        </is>
      </c>
      <c r="C11" s="6" t="inlineStr">
        <is>
          <t>Mobile regressions assert every grouped action's rendered bounds, not only route existence.</t>
        </is>
      </c>
      <c r="D11" s="6" t="inlineStr">
        <is>
          <t>Pre-deploy production reproduced 363.484px; post-deploy 360px proof PASS.</t>
        </is>
      </c>
    </row>
    <row r="12" ht="92" customHeight="1">
      <c r="A12" s="6" t="inlineStr">
        <is>
          <t>Process failure</t>
        </is>
      </c>
      <c r="B12" s="6" t="inlineStr">
        <is>
          <t>Previous shallow fixes trusted a green local or partial proof and did not bind verdicts to a release artifact.</t>
        </is>
      </c>
      <c r="C12" s="6" t="inlineStr">
        <is>
          <t>Fail closed: no 'fixed' label without code, test, deployment identity, production replay, and cleanup evidence.</t>
        </is>
      </c>
      <c r="D12" s="6" t="inlineStr">
        <is>
          <t>Permanent rules added to AGENTS.md and docs/BUG_REOPEN_LEARNINGS_2026-07-29_RAM.md.</t>
        </is>
      </c>
    </row>
  </sheetData>
  <autoFilter ref="A6:D12"/>
  <mergeCells count="2">
    <mergeCell ref="A1:D1"/>
    <mergeCell ref="A2:D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62" customWidth="1" min="3" max="3"/>
    <col width="70" customWidth="1" min="4" max="4"/>
    <col width="24" customWidth="1" min="5" max="5"/>
    <col width="16" customWidth="1" min="6" max="6"/>
  </cols>
  <sheetData>
    <row r="1" ht="30" customHeight="1">
      <c r="A1" s="1" t="inlineStr">
        <is>
          <t>Regression Matrix</t>
        </is>
      </c>
    </row>
    <row r="2" ht="36" customHeight="1">
      <c r="A2" s="2" t="inlineStr">
        <is>
          <t>These are the durable checks that prevent the same classes of bug from returning elsewhere in the product.</t>
        </is>
      </c>
    </row>
    <row r="6" ht="36" customHeight="1">
      <c r="A6" s="5" t="inlineStr">
        <is>
          <t>Regression area</t>
        </is>
      </c>
      <c r="B6" s="5" t="inlineStr">
        <is>
          <t>Exact suite</t>
        </is>
      </c>
      <c r="C6" s="5" t="inlineStr">
        <is>
          <t>Scenario</t>
        </is>
      </c>
      <c r="D6" s="5" t="inlineStr">
        <is>
          <t>Expected invariant</t>
        </is>
      </c>
      <c r="E6" s="5" t="inlineStr">
        <is>
          <t>Environment</t>
        </is>
      </c>
      <c r="F6" s="5" t="inlineStr">
        <is>
          <t>Result</t>
        </is>
      </c>
    </row>
    <row r="7" ht="82" customHeight="1">
      <c r="A7" s="6" t="inlineStr">
        <is>
          <t>Admin navigation</t>
        </is>
      </c>
      <c r="B7" s="6" t="inlineStr">
        <is>
          <t>tests/e2e/ram-2026-07-29-bugs.spec.ts / prod.spec.ts</t>
        </is>
      </c>
      <c r="C7" s="6" t="inlineStr">
        <is>
          <t>Desktop + mobile Judge aliases navigation and destination render</t>
        </is>
      </c>
      <c r="D7" s="6" t="inlineStr">
        <is>
          <t>Shared capability-gated route is visible, clickable, and destination heading renders</t>
        </is>
      </c>
      <c r="E7" s="6" t="inlineStr">
        <is>
          <t>Local + production</t>
        </is>
      </c>
      <c r="F7" s="6" t="inlineStr">
        <is>
          <t>PASS</t>
        </is>
      </c>
    </row>
    <row r="8" ht="82" customHeight="1">
      <c r="A8" s="6" t="inlineStr">
        <is>
          <t>Admin responsive actions</t>
        </is>
      </c>
      <c r="B8" s="6" t="inlineStr">
        <is>
          <t>tests/e2e/ram-2026-07-29-bugs.spec.ts / prod.spec.ts</t>
        </is>
      </c>
      <c r="C8" s="6" t="inlineStr">
        <is>
          <t>All eight Admin actions at 360px</t>
        </is>
      </c>
      <c r="D8" s="6" t="inlineStr">
        <is>
          <t>Every action is visible, has the expected href, and stays within viewport bounds</t>
        </is>
      </c>
      <c r="E8" s="6" t="inlineStr">
        <is>
          <t>Local + production</t>
        </is>
      </c>
      <c r="F8" s="6" t="inlineStr">
        <is>
          <t>PASS</t>
        </is>
      </c>
    </row>
    <row r="9" ht="82" customHeight="1">
      <c r="A9" s="6" t="inlineStr">
        <is>
          <t>Terminal lifecycle</t>
        </is>
      </c>
      <c r="B9" s="6" t="inlineStr">
        <is>
          <t>tests/e2e/ram-2026-07-15-prod.spec.ts</t>
        </is>
      </c>
      <c r="C9" s="6" t="inlineStr">
        <is>
          <t>Dispose, stale edit, generic reactivation, child writes</t>
        </is>
      </c>
      <c r="D9" s="6" t="inlineStr">
        <is>
          <t>409 on unsafe writes; disposed stays out of Today/Calendar</t>
        </is>
      </c>
      <c r="E9" s="6" t="inlineStr">
        <is>
          <t>Production</t>
        </is>
      </c>
      <c r="F9" s="6" t="inlineStr">
        <is>
          <t>PASS</t>
        </is>
      </c>
    </row>
    <row r="10" ht="82" customHeight="1">
      <c r="A10" s="6" t="inlineStr">
        <is>
          <t>Controlled reopen</t>
        </is>
      </c>
      <c r="B10" s="6" t="inlineStr">
        <is>
          <t>tests/e2e/ram-2026-07-15-prod.spec.ts</t>
        </is>
      </c>
      <c r="C10" s="6" t="inlineStr">
        <is>
          <t>Disposed -&gt; Intake -&gt; Active with reload</t>
        </is>
      </c>
      <c r="D10" s="6" t="inlineStr">
        <is>
          <t>Only dedicated lifecycle action reopens; cancelled children do not revive; Active persists</t>
        </is>
      </c>
      <c r="E10" s="6" t="inlineStr">
        <is>
          <t>Production</t>
        </is>
      </c>
      <c r="F10" s="6" t="inlineStr">
        <is>
          <t>PASS</t>
        </is>
      </c>
    </row>
    <row r="11" ht="82" customHeight="1">
      <c r="A11" s="6" t="inlineStr">
        <is>
          <t>Backend lifecycle suite</t>
        </is>
      </c>
      <c r="B11" s="6" t="inlineStr">
        <is>
          <t>apps/api/tests/test_matter_lifecycle.py</t>
        </is>
      </c>
      <c r="C11" s="6" t="inlineStr">
        <is>
          <t>State matrix, DB invariant, legacy rows, conflict history</t>
        </is>
      </c>
      <c r="D11" s="6" t="inlineStr">
        <is>
          <t>16 tests pass; status/is_active/lifecycle_version remain coherent</t>
        </is>
      </c>
      <c r="E11" s="6" t="inlineStr">
        <is>
          <t>Local API</t>
        </is>
      </c>
      <c r="F11" s="6" t="inlineStr">
        <is>
          <t>PASS</t>
        </is>
      </c>
    </row>
  </sheetData>
  <autoFilter ref="A6:F11"/>
  <mergeCells count="2">
    <mergeCell ref="A2:F2"/>
    <mergeCell ref="A1:F1"/>
  </mergeCells>
  <conditionalFormatting sqref="F7:F11">
    <cfRule type="expression" priority="1" dxfId="0">
      <formula>$F7="PASS"</formula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6" customWidth="1" min="4" max="4"/>
    <col width="24" customWidth="1" min="5" max="5"/>
    <col width="46" customWidth="1" min="6" max="6"/>
    <col width="58" customWidth="1" min="7" max="7"/>
    <col width="58" customWidth="1" min="8" max="8"/>
    <col width="58" customWidth="1" min="9" max="9"/>
    <col width="58" customWidth="1" min="10" max="10"/>
    <col width="14" customWidth="1" min="11" max="11"/>
    <col width="28" customWidth="1" min="12" max="12"/>
    <col width="16" customWidth="1" min="13" max="13"/>
    <col width="16" customWidth="1" min="14" max="14"/>
    <col width="24" customWidth="1" min="15" max="15"/>
  </cols>
  <sheetData>
    <row r="1" ht="30" customHeight="1">
      <c r="A1" s="1" t="inlineStr">
        <is>
          <t>Source Workbook Rows</t>
        </is>
      </c>
    </row>
    <row r="2" ht="36" customHeight="1">
      <c r="A2" s="2" t="inlineStr">
        <is>
          <t>Copied from CaseOps_BugsRam29Jul2026.xlsx with the Credentials column intentionally excluded.</t>
        </is>
      </c>
    </row>
    <row r="6" ht="36" customHeight="1">
      <c r="A6" s="5" t="inlineStr">
        <is>
          <t>Bug ID</t>
        </is>
      </c>
      <c r="B6" s="5" t="inlineStr">
        <is>
          <t>Severity</t>
        </is>
      </c>
      <c r="C6" s="5" t="inlineStr">
        <is>
          <t>Type</t>
        </is>
      </c>
      <c r="D6" s="5" t="inlineStr">
        <is>
          <t>Module</t>
        </is>
      </c>
      <c r="E6" s="5" t="inlineStr">
        <is>
          <t>Sub Module</t>
        </is>
      </c>
      <c r="F6" s="5" t="inlineStr">
        <is>
          <t>Page URL</t>
        </is>
      </c>
      <c r="G6" s="5" t="inlineStr">
        <is>
          <t>Summary</t>
        </is>
      </c>
      <c r="H6" s="5" t="inlineStr">
        <is>
          <t>Steps to Reproduce</t>
        </is>
      </c>
      <c r="I6" s="5" t="inlineStr">
        <is>
          <t>Expected Result</t>
        </is>
      </c>
      <c r="J6" s="5" t="inlineStr">
        <is>
          <t>Actual Result</t>
        </is>
      </c>
      <c r="K6" s="5" t="inlineStr">
        <is>
          <t>Status</t>
        </is>
      </c>
      <c r="L6" s="5" t="inlineStr">
        <is>
          <t>Environment</t>
        </is>
      </c>
      <c r="M6" s="5" t="inlineStr">
        <is>
          <t>Reported By</t>
        </is>
      </c>
      <c r="N6" s="5" t="inlineStr">
        <is>
          <t>Reported On</t>
        </is>
      </c>
      <c r="O6" s="5" t="inlineStr">
        <is>
          <t>Screenshot</t>
        </is>
      </c>
    </row>
    <row r="7" ht="96" customHeight="1">
      <c r="A7" s="6" t="inlineStr">
        <is>
          <t>BUG-001</t>
        </is>
      </c>
      <c r="B7" s="6" t="inlineStr">
        <is>
          <t>High</t>
        </is>
      </c>
      <c r="C7" s="6" t="inlineStr">
        <is>
          <t>UI / Responsive</t>
        </is>
      </c>
      <c r="D7" s="6" t="inlineStr">
        <is>
          <t>Admin &amp; Governance</t>
        </is>
      </c>
      <c r="E7" s="6" t="inlineStr">
        <is>
          <t>Judge Aliases</t>
        </is>
      </c>
      <c r="F7" s="6" t="inlineStr">
        <is>
          <t>https://caseops.ai/app/admin/judge-aliases</t>
        </is>
      </c>
      <c r="G7" s="6" t="inlineStr">
        <is>
          <t>[Reopened] Judge Aliases section is hidden/not visible on the Desktop Admin page (Desktop).</t>
        </is>
      </c>
      <c r="H7" s="6" t="inlineStr">
        <is>
          <t>1. Login as Admin.
2. Open Admin &amp; Governance.
3. Check available menu/options.
4. Observe that Judge Aliases option is not fully visible.
5. Access /app/admin/judge-aliases directly via URL.</t>
        </is>
      </c>
      <c r="I7" s="6" t="inlineStr">
        <is>
          <t>Judge Aliases section should be fully visible and accessible on the desktop view.</t>
        </is>
      </c>
      <c r="J7" s="6" t="inlineStr">
        <is>
          <t>Judge Aliases section is not fully displayed on the desktop page.</t>
        </is>
      </c>
      <c r="K7" s="6" t="inlineStr">
        <is>
          <t>ReOpen</t>
        </is>
      </c>
      <c r="L7" s="6" t="inlineStr">
        <is>
          <t>Chrome-Desktop (caseops.ai)</t>
        </is>
      </c>
      <c r="M7" s="6" t="inlineStr">
        <is>
          <t>Ram</t>
        </is>
      </c>
      <c r="N7" s="7" t="n">
        <v>46232</v>
      </c>
      <c r="O7" s="6" t="n"/>
    </row>
    <row r="8" ht="96" customHeight="1">
      <c r="A8" s="6" t="inlineStr">
        <is>
          <t>BUG-002</t>
        </is>
      </c>
      <c r="B8" s="6" t="inlineStr">
        <is>
          <t>High</t>
        </is>
      </c>
      <c r="C8" s="6" t="inlineStr">
        <is>
          <t>Responsive UI</t>
        </is>
      </c>
      <c r="D8" s="6" t="inlineStr">
        <is>
          <t>Admin &amp; Governance</t>
        </is>
      </c>
      <c r="E8" s="6" t="inlineStr">
        <is>
          <t>Mobile Responsive UI</t>
        </is>
      </c>
      <c r="F8" s="6" t="inlineStr">
        <is>
          <t>https://caseops.ai/app/admin/</t>
        </is>
      </c>
      <c r="G8" s="6" t="inlineStr">
        <is>
          <t>Admin page content is hidden on Android after the Outlook section due to responsive UI issue.</t>
        </is>
      </c>
      <c r="H8" s="6" t="inlineStr">
        <is>
          <t>1. Login as Admin.
2. Open Admin &amp; Governance.
3. Check available section/options.
4. Observe that after outlook option are not fully visible.
5. Access /app/admin/{section-name} directly via URL.</t>
        </is>
      </c>
      <c r="I8" s="6" t="inlineStr">
        <is>
          <t>All Admin features available on desktop should also be visible and usable on Android (unless intentionally restricted).</t>
        </is>
      </c>
      <c r="J8" s="6" t="inlineStr">
        <is>
          <t>The sections after Outlook are hidden/not displayed on Android due to a responsive UI issue.</t>
        </is>
      </c>
      <c r="K8" s="6" t="inlineStr">
        <is>
          <t>Open</t>
        </is>
      </c>
      <c r="L8" s="6" t="inlineStr">
        <is>
          <t>Chrome-Android (caseops.ai)</t>
        </is>
      </c>
      <c r="M8" s="6" t="inlineStr">
        <is>
          <t>Ram</t>
        </is>
      </c>
      <c r="N8" s="7" t="n">
        <v>46232</v>
      </c>
      <c r="O8" s="6" t="n"/>
    </row>
  </sheetData>
  <autoFilter ref="A6:O8"/>
  <mergeCells count="2">
    <mergeCell ref="A1:O1"/>
    <mergeCell ref="A2:O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2026-07-29T03:37:13Z</dcterms:created>
  <dcterms:modified xsi:type="dcterms:W3CDTF">2026-07-29T03:37:13Z</dcterms:modified>
</cp:coreProperties>
</file>