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alysis" sheetId="2" state="visible" r:id="rId2"/>
    <sheet name="Test Evidence" sheetId="3" state="visible" r:id="rId3"/>
    <sheet name="Reopen Audit" sheetId="4" state="visible" r:id="rId4"/>
  </sheets>
  <definedNames>
    <definedName name="_xlnm._FilterDatabase" localSheetId="0" hidden="1">'Summary'!$A$7:$D$11</definedName>
    <definedName name="_xlnm._FilterDatabase" localSheetId="1" hidden="1">'Analysis'!$A$6:$L$11</definedName>
    <definedName name="_xlnm._FilterDatabase" localSheetId="2" hidden="1">'Test Evidence'!$A$6:$F$12</definedName>
    <definedName name="_xlnm._FilterDatabase" localSheetId="3" hidden="1">'Reopen Audit'!$A$6:$C$12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B6B7A"/>
      <sz val="10"/>
    </font>
    <font>
      <name val="Aptos"/>
      <b val="1"/>
      <color rgb="005B6B7A"/>
      <sz val="10"/>
    </font>
    <font>
      <name val="Aptos Display"/>
      <b val="1"/>
      <color rgb="0017324D"/>
      <sz val="18"/>
    </font>
    <font>
      <name val="Aptos"/>
      <b val="1"/>
      <color rgb="00FFFFFF"/>
      <sz val="10"/>
    </font>
    <font>
      <name val="Aptos"/>
      <color rgb="00243447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F0EE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hair">
        <color rgb="00D6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uditItems" displayName="AuditItems" ref="A6:L11" headerRowCount="1">
  <autoFilter ref="A6:L11"/>
  <tableColumns count="12">
    <tableColumn id="1" name="ID"/>
    <tableColumn id="2" name="Reported Type"/>
    <tableColumn id="3" name="Summary"/>
    <tableColumn id="4" name="Module"/>
    <tableColumn id="5" name="Validity"/>
    <tableColumn id="6" name="Repository Match"/>
    <tableColumn id="7" name="Verdict"/>
    <tableColumn id="8" name="Root Cause / Assessment"/>
    <tableColumn id="9" name="Action Taken"/>
    <tableColumn id="10" name="Regression / Proof"/>
    <tableColumn id="11" name="Production Status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6" customWidth="1" min="3" max="3"/>
    <col width="58" customWidth="1" min="4" max="4"/>
  </cols>
  <sheetData>
    <row r="1" ht="30" customHeight="1">
      <c r="A1" s="1" t="inlineStr">
        <is>
          <t>Ram 28 Jul 2026 Bug / Enhancement Audit</t>
        </is>
      </c>
    </row>
    <row r="2" ht="30" customHeight="1">
      <c r="A2" s="2" t="inlineStr">
        <is>
          <t>Scope checked against CaseOps repository and deployed legal tenant. Passwords omitted. Verdicts are fail-closed.</t>
        </is>
      </c>
    </row>
    <row r="4">
      <c r="A4" s="3" t="inlineStr">
        <is>
          <t>Total reviewed</t>
        </is>
      </c>
      <c r="C4" s="3" t="inlineStr">
        <is>
          <t>Enhancements</t>
        </is>
      </c>
      <c r="E4" s="3" t="inlineStr">
        <is>
          <t>Bugs / suspected</t>
        </is>
      </c>
      <c r="G4" s="3" t="inlineStr">
        <is>
          <t>Inconclusive</t>
        </is>
      </c>
      <c r="I4" s="3" t="inlineStr">
        <is>
          <t>Valid CaseOps findings</t>
        </is>
      </c>
    </row>
    <row r="5" ht="34" customHeight="1">
      <c r="A5" s="4">
        <f>COUNTA('Analysis'!$A$7:$A$11)</f>
        <v/>
      </c>
      <c r="C5" s="4">
        <f>COUNTIF('Analysis'!$B$7:$B$11,"Enhancement")</f>
        <v/>
      </c>
      <c r="E5" s="4">
        <f>COUNTIF('Analysis'!$B$7:$B$11,"Bug")+COUNTIF('Analysis'!$B$7:$B$11,"Suspected bug")</f>
        <v/>
      </c>
      <c r="G5" s="4">
        <f>COUNTIF('Analysis'!$G$7:$G$11,"Inconclusive")</f>
        <v/>
      </c>
      <c r="I5" s="4">
        <f>COUNTIF('Analysis'!$E$7:$E$11,"Valid deployed CaseOps finding")</f>
        <v/>
      </c>
    </row>
    <row r="7" ht="34" customHeight="1">
      <c r="A7" s="5" t="inlineStr">
        <is>
          <t>Area</t>
        </is>
      </c>
      <c r="B7" s="5" t="inlineStr">
        <is>
          <t>Finding</t>
        </is>
      </c>
      <c r="C7" s="5" t="inlineStr">
        <is>
          <t>Decision</t>
        </is>
      </c>
      <c r="D7" s="5" t="inlineStr">
        <is>
          <t>Required next action</t>
        </is>
      </c>
    </row>
    <row r="8" ht="66" customHeight="1">
      <c r="A8" s="6" t="inlineStr">
        <is>
          <t>Workbook scope</t>
        </is>
      </c>
      <c r="B8" s="6" t="inlineStr">
        <is>
          <t>All three supplied rows describe Edumatica, not CaseOps.</t>
        </is>
      </c>
      <c r="C8" s="6" t="inlineStr">
        <is>
          <t>Out of scope for CaseOps</t>
        </is>
      </c>
      <c r="D8" s="6" t="inlineStr">
        <is>
          <t>Provide the Edumatica repository or deployment context before implementation.</t>
        </is>
      </c>
    </row>
    <row r="9" ht="66" customHeight="1">
      <c r="A9" s="6" t="inlineStr">
        <is>
          <t>Case reopening</t>
        </is>
      </c>
      <c r="B9" s="6" t="inlineStr">
        <is>
          <t>Production accepted a conflict check captured before reopen and reactivated the Matter.</t>
        </is>
      </c>
      <c r="C9" s="6" t="inlineStr">
        <is>
          <t>Inconclusive; production failed</t>
        </is>
      </c>
      <c r="D9" s="6" t="inlineStr">
        <is>
          <t>Deploy the current candidate and rerun the dated production lifecycle spec with build identity.</t>
        </is>
      </c>
    </row>
    <row r="10" ht="66" customHeight="1">
      <c r="A10" s="6" t="inlineStr">
        <is>
          <t>Notice filter</t>
        </is>
      </c>
      <c r="B10" s="6" t="inlineStr">
        <is>
          <t>First production run showed an empty filtered state; retry and direct API probe passed.</t>
        </is>
      </c>
      <c r="C10" s="6" t="inlineStr">
        <is>
          <t>Inconclusive; monitor</t>
        </is>
      </c>
      <c r="D10" s="6" t="inlineStr">
        <is>
          <t>Retain regression and investigate only on recurrence with network evidence.</t>
        </is>
      </c>
    </row>
    <row r="11" ht="66" customHeight="1">
      <c r="A11" s="6" t="inlineStr">
        <is>
          <t>Verification quality</t>
        </is>
      </c>
      <c r="B11" s="6" t="inlineStr">
        <is>
          <t>Local and production surfaces did not prove the same release behavior.</t>
        </is>
      </c>
      <c r="C11" s="6" t="inlineStr">
        <is>
          <t>Process defect confirmed</t>
        </is>
      </c>
      <c r="D11" s="6" t="inlineStr">
        <is>
          <t>Never issue a clean fix verdict without deployed commit/build proof.</t>
        </is>
      </c>
    </row>
  </sheetData>
  <autoFilter ref="A7:D11"/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34" customWidth="1" min="4" max="4"/>
    <col width="28" customWidth="1" min="5" max="5"/>
    <col width="46" customWidth="1" min="6" max="6"/>
    <col width="18" customWidth="1" min="7" max="7"/>
    <col width="54" customWidth="1" min="8" max="8"/>
    <col width="54" customWidth="1" min="9" max="9"/>
    <col width="54" customWidth="1" min="10" max="10"/>
    <col width="26" customWidth="1" min="11" max="11"/>
    <col width="36" customWidth="1" min="12" max="12"/>
  </cols>
  <sheetData>
    <row r="1" ht="30" customHeight="1">
      <c r="A1" s="1" t="inlineStr">
        <is>
          <t>Item-by-Item Assessment</t>
        </is>
      </c>
    </row>
    <row r="2" ht="30" customHeight="1">
      <c r="A2" s="2" t="inlineStr">
        <is>
          <t>Original workbook rows plus adjacent CaseOps findings discovered during the same audit.</t>
        </is>
      </c>
    </row>
    <row r="6" ht="34" customHeight="1">
      <c r="A6" s="5" t="inlineStr">
        <is>
          <t>ID</t>
        </is>
      </c>
      <c r="B6" s="5" t="inlineStr">
        <is>
          <t>Reported Type</t>
        </is>
      </c>
      <c r="C6" s="5" t="inlineStr">
        <is>
          <t>Summary</t>
        </is>
      </c>
      <c r="D6" s="5" t="inlineStr">
        <is>
          <t>Module</t>
        </is>
      </c>
      <c r="E6" s="5" t="inlineStr">
        <is>
          <t>Validity</t>
        </is>
      </c>
      <c r="F6" s="5" t="inlineStr">
        <is>
          <t>Repository Match</t>
        </is>
      </c>
      <c r="G6" s="5" t="inlineStr">
        <is>
          <t>Verdict</t>
        </is>
      </c>
      <c r="H6" s="5" t="inlineStr">
        <is>
          <t>Root Cause / Assessment</t>
        </is>
      </c>
      <c r="I6" s="5" t="inlineStr">
        <is>
          <t>Action Taken</t>
        </is>
      </c>
      <c r="J6" s="5" t="inlineStr">
        <is>
          <t>Regression / Proof</t>
        </is>
      </c>
      <c r="K6" s="5" t="inlineStr">
        <is>
          <t>Production Status</t>
        </is>
      </c>
      <c r="L6" s="5" t="inlineStr">
        <is>
          <t>Notes</t>
        </is>
      </c>
    </row>
    <row r="7" ht="66" customHeight="1">
      <c r="A7" s="6" t="inlineStr">
        <is>
          <t>1</t>
        </is>
      </c>
      <c r="B7" s="6" t="inlineStr">
        <is>
          <t>Enhancement</t>
        </is>
      </c>
      <c r="C7" s="6" t="inlineStr">
        <is>
          <t>Enhancement: Student Due Search , Due Payment &amp; Receipt Generation</t>
        </is>
      </c>
      <c r="D7" s="6" t="inlineStr">
        <is>
          <t>Physical Library → Student Due Management</t>
        </is>
      </c>
      <c r="E7" s="6" t="inlineStr">
        <is>
          <t>Not a CaseOps item</t>
        </is>
      </c>
      <c r="F7" s="6" t="inlineStr">
        <is>
          <t>No matching Edumatica or Physical Library module exists in this repository.</t>
        </is>
      </c>
      <c r="G7" s="6" t="inlineStr">
        <is>
          <t>Inconclusive</t>
        </is>
      </c>
      <c r="H7" s="6" t="inlineStr">
        <is>
          <t>External Edumatica scope. The supplied URL and domain model are outside CaseOps.</t>
        </is>
      </c>
      <c r="I7" s="6" t="inlineStr">
        <is>
          <t>No unrelated code change. Request the Edumatica repository or deployment context for implementation.</t>
        </is>
      </c>
      <c r="J7" s="6" t="inlineStr">
        <is>
          <t>Repository search: no Physical Library, Student Due Management, Degree Course, or Degree Program surfaces.</t>
        </is>
      </c>
      <c r="K7" s="6" t="inlineStr">
        <is>
          <t>Not tested: external product</t>
        </is>
      </c>
      <c r="L7" s="6" t="inlineStr">
        <is>
          <t>Valid-looking enhancement for another product; not a CaseOps enhancement.</t>
        </is>
      </c>
    </row>
    <row r="8" ht="66" customHeight="1">
      <c r="A8" s="6" t="inlineStr">
        <is>
          <t>2</t>
        </is>
      </c>
      <c r="B8" s="6" t="inlineStr">
        <is>
          <t>Bug</t>
        </is>
      </c>
      <c r="C8" s="6" t="inlineStr">
        <is>
          <t>Bug: Duration Type 'Days' is  Displayed as 'Years' in Degree  Program View</t>
        </is>
      </c>
      <c r="D8" s="6" t="inlineStr">
        <is>
          <t>Academic Management → Degree Courses → Degree Program</t>
        </is>
      </c>
      <c r="E8" s="6" t="inlineStr">
        <is>
          <t>Not a CaseOps item</t>
        </is>
      </c>
      <c r="F8" s="6" t="inlineStr">
        <is>
          <t>No Degree Course or Degree Program implementation exists in this repository.</t>
        </is>
      </c>
      <c r="G8" s="6" t="inlineStr">
        <is>
          <t>Inconclusive</t>
        </is>
      </c>
      <c r="H8" s="6" t="inlineStr">
        <is>
          <t>External Edumatica scope. The reported Days/Years mapping cannot be reproduced in CaseOps.</t>
        </is>
      </c>
      <c r="I8" s="6" t="inlineStr">
        <is>
          <t>No unrelated code change. Request the Edumatica source and deployed URL for a real fix.</t>
        </is>
      </c>
      <c r="J8" s="6" t="inlineStr">
        <is>
          <t>Repository search: no matching duration-type or degree-program read/write path.</t>
        </is>
      </c>
      <c r="K8" s="6" t="inlineStr">
        <is>
          <t>Not tested: external product</t>
        </is>
      </c>
      <c r="L8" s="6" t="inlineStr">
        <is>
          <t>Valid-looking external bug; not a CaseOps bug.</t>
        </is>
      </c>
    </row>
    <row r="9" ht="66" customHeight="1">
      <c r="A9" s="6" t="inlineStr">
        <is>
          <t>3</t>
        </is>
      </c>
      <c r="B9" s="6" t="inlineStr">
        <is>
          <t>Enhancement</t>
        </is>
      </c>
      <c r="C9" s="6" t="inlineStr">
        <is>
          <t>Enhancement: Add 'Hours' Option  in Duration Type for Degree Course</t>
        </is>
      </c>
      <c r="D9" s="6" t="inlineStr">
        <is>
          <t>Academic Management → Degree Courses</t>
        </is>
      </c>
      <c r="E9" s="6" t="inlineStr">
        <is>
          <t>Not a CaseOps item</t>
        </is>
      </c>
      <c r="F9" s="6" t="inlineStr">
        <is>
          <t>No matching Degree Course or duration-type dropdown exists in this repository.</t>
        </is>
      </c>
      <c r="G9" s="6" t="inlineStr">
        <is>
          <t>Inconclusive</t>
        </is>
      </c>
      <c r="H9" s="6" t="inlineStr">
        <is>
          <t>External Edumatica scope. Hours cannot be added safely without the owning product code.</t>
        </is>
      </c>
      <c r="I9" s="6" t="inlineStr">
        <is>
          <t>No unrelated code change. Request the Edumatica repository or deployment context for implementation.</t>
        </is>
      </c>
      <c r="J9" s="6" t="inlineStr">
        <is>
          <t>Repository search: only unrelated legal time-entry duration fields were found.</t>
        </is>
      </c>
      <c r="K9" s="6" t="inlineStr">
        <is>
          <t>Not tested: external product</t>
        </is>
      </c>
      <c r="L9" s="6" t="inlineStr">
        <is>
          <t>Valid-looking external enhancement; not a CaseOps enhancement.</t>
        </is>
      </c>
    </row>
    <row r="10" ht="66" customHeight="1">
      <c r="A10" s="6" t="inlineStr">
        <is>
          <t>ADJ-REOPEN-2026-07-28</t>
        </is>
      </c>
      <c r="B10" s="6" t="inlineStr">
        <is>
          <t>Bug</t>
        </is>
      </c>
      <c r="C10" s="6" t="inlineStr">
        <is>
          <t>Case reactivation through pre-reopen conflict clearance on deployed production</t>
        </is>
      </c>
      <c r="D10" s="6" t="inlineStr">
        <is>
          <t>CaseOps Matter lifecycle / conflict gate</t>
        </is>
      </c>
      <c r="E10" s="6" t="inlineStr">
        <is>
          <t>Valid deployed CaseOps finding</t>
        </is>
      </c>
      <c r="F10" s="6" t="inlineStr">
        <is>
          <t>Yes. Current branch has lifecycle-version and reopen-audit guards.</t>
        </is>
      </c>
      <c r="G10" s="6" t="inlineStr">
        <is>
          <t>Inconclusive</t>
        </is>
      </c>
      <c r="H10" s="6" t="inlineStr">
        <is>
          <t>Local candidate rejects stale clearance, but production accepted it with HTTP 200. This is deployed-build drift or an unshipped lifecycle fix.</t>
        </is>
      </c>
      <c r="I10" s="6" t="inlineStr">
        <is>
          <t>Keep the lifecycle state machine and registered production regression. Deploy the candidate, expose/prove build identity, and rerun the same spec.</t>
        </is>
      </c>
      <c r="J10" s="6" t="inlineStr">
        <is>
          <t>Local Playwright 3/3 passed; local API stale-clearance test passed; production spec ram-2026-07-15-prod.spec.ts:676 failed with HTTP 200.</t>
        </is>
      </c>
      <c r="K10" s="6" t="inlineStr">
        <is>
          <t>Failed on 2026-07-28</t>
        </is>
      </c>
      <c r="L10" s="6" t="inlineStr">
        <is>
          <t>Do not mark fixed until deployed proof passes.</t>
        </is>
      </c>
    </row>
    <row r="11" ht="66" customHeight="1">
      <c r="A11" s="6" t="inlineStr">
        <is>
          <t>ADJ-NOTICE-FILTER-2026-07-28</t>
        </is>
      </c>
      <c r="B11" s="6" t="inlineStr">
        <is>
          <t>Suspected bug</t>
        </is>
      </c>
      <c r="C11" s="6" t="inlineStr">
        <is>
          <t>Combined notice search/status/owner filter briefly returned an empty UI state on production</t>
        </is>
      </c>
      <c r="D11" s="6" t="inlineStr">
        <is>
          <t>CaseOps global Notice Management</t>
        </is>
      </c>
      <c r="E11" s="6" t="inlineStr">
        <is>
          <t>Unconfirmed production flake</t>
        </is>
      </c>
      <c r="F11" s="6" t="inlineStr">
        <is>
          <t>Yes. Notice register and filter endpoints exist.</t>
        </is>
      </c>
      <c r="G11" s="6" t="inlineStr">
        <is>
          <t>Inconclusive</t>
        </is>
      </c>
      <c r="H11" s="6" t="inlineStr">
        <is>
          <t>Not reproduced on retry. Direct authenticated production API probe returned the filtered record; no safe root-cause patch is justified from one run.</t>
        </is>
      </c>
      <c r="I11" s="6" t="inlineStr">
        <is>
          <t>Retain the existing local and production regression; monitor for recurrence instead of masking it with a longer wait.</t>
        </is>
      </c>
      <c r="J11" s="6" t="inlineStr">
        <is>
          <t>First production replay showed empty result; second full replay passed Notice workflow; direct API combined filter returned total=1.</t>
        </is>
      </c>
      <c r="K11" s="6" t="inlineStr">
        <is>
          <t>Passed on retry; initial run flaky</t>
        </is>
      </c>
      <c r="L11" s="6" t="inlineStr">
        <is>
          <t>Not promoted to a confirmed code defect.</t>
        </is>
      </c>
    </row>
  </sheetData>
  <autoFilter ref="A6:L11"/>
  <mergeCells count="2">
    <mergeCell ref="A2:L2"/>
    <mergeCell ref="A1:L1"/>
  </mergeCells>
  <conditionalFormatting sqref="G7:G11">
    <cfRule type="expression" priority="1" dxfId="0">
      <formula>$G7="Inconclusive"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2" customWidth="1" min="3" max="3"/>
    <col width="24" customWidth="1" min="4" max="4"/>
    <col width="62" customWidth="1" min="5" max="5"/>
    <col width="52" customWidth="1" min="6" max="6"/>
  </cols>
  <sheetData>
    <row r="1" ht="30" customHeight="1">
      <c r="A1" s="1" t="inlineStr">
        <is>
          <t>Verification Evidence</t>
        </is>
      </c>
    </row>
    <row r="2" ht="30" customHeight="1">
      <c r="A2" s="2" t="inlineStr">
        <is>
          <t>A fix claim is paired with the exact command/spec and the limitation of that evidence.</t>
        </is>
      </c>
    </row>
    <row r="6" ht="34" customHeight="1">
      <c r="A6" s="5" t="inlineStr">
        <is>
          <t>Date</t>
        </is>
      </c>
      <c r="B6" s="5" t="inlineStr">
        <is>
          <t>Surface</t>
        </is>
      </c>
      <c r="C6" s="5" t="inlineStr">
        <is>
          <t>Exact proof artifact</t>
        </is>
      </c>
      <c r="D6" s="5" t="inlineStr">
        <is>
          <t>Result</t>
        </is>
      </c>
      <c r="E6" s="5" t="inlineStr">
        <is>
          <t>What it proves</t>
        </is>
      </c>
      <c r="F6" s="5" t="inlineStr">
        <is>
          <t>Limitations / caveat</t>
        </is>
      </c>
    </row>
    <row r="7" ht="66" customHeight="1">
      <c r="A7" s="6" t="inlineStr">
        <is>
          <t>2026-07-28</t>
        </is>
      </c>
      <c r="B7" s="6" t="inlineStr">
        <is>
          <t>Local Playwright</t>
        </is>
      </c>
      <c r="C7" s="6" t="inlineStr">
        <is>
          <t>tests/e2e/ram-2026-07-15-bugs.spec.ts</t>
        </is>
      </c>
      <c r="D7" s="6" t="inlineStr">
        <is>
          <t>PASS: 3/3</t>
        </is>
      </c>
      <c r="E7" s="6" t="inlineStr">
        <is>
          <t>Default Active creation, global notices, and full dispose/reopen lifecycle pass in a fresh local legal tenant.</t>
        </is>
      </c>
      <c r="F7" s="6" t="inlineStr">
        <is>
          <t>Local proof is not production proof.</t>
        </is>
      </c>
    </row>
    <row r="8" ht="66" customHeight="1">
      <c r="A8" s="6" t="inlineStr">
        <is>
          <t>2026-07-28</t>
        </is>
      </c>
      <c r="B8" s="6" t="inlineStr">
        <is>
          <t>Local API</t>
        </is>
      </c>
      <c r="C8" s="6" t="inlineStr">
        <is>
          <t>test_matter_lifecycle.py::test_reopen_invalidates_pre_reopen_conflict_clearance; test_notices.py::test_multi_matter_notice_filters_assignment_and_updates</t>
        </is>
      </c>
      <c r="D8" s="6" t="inlineStr">
        <is>
          <t>PASS: 2/2</t>
        </is>
      </c>
      <c r="E8" s="6" t="inlineStr">
        <is>
          <t>Backend stale-clearance rejection and notice filter semantics pass.</t>
        </is>
      </c>
      <c r="F8" s="6" t="inlineStr">
        <is>
          <t>SQLite API tests do not prove deployed build identity.</t>
        </is>
      </c>
    </row>
    <row r="9" ht="66" customHeight="1">
      <c r="A9" s="6" t="inlineStr">
        <is>
          <t>2026-07-28</t>
        </is>
      </c>
      <c r="B9" s="6" t="inlineStr">
        <is>
          <t>Local web</t>
        </is>
      </c>
      <c r="C9" s="6" t="inlineStr">
        <is>
          <t>app/app/notices/page.test.tsx</t>
        </is>
      </c>
      <c r="D9" s="6" t="inlineStr">
        <is>
          <t>PASS: 16/16</t>
        </is>
      </c>
      <c r="E9" s="6" t="inlineStr">
        <is>
          <t>Notice UI filter request behavior and user-visible state pass with mocked client boundaries.</t>
        </is>
      </c>
      <c r="F9" s="6" t="inlineStr">
        <is>
          <t>Mocked UI test is not end-user deployment proof.</t>
        </is>
      </c>
    </row>
    <row r="10" ht="66" customHeight="1">
      <c r="A10" s="6" t="inlineStr">
        <is>
          <t>2026-07-28</t>
        </is>
      </c>
      <c r="B10" s="6" t="inlineStr">
        <is>
          <t>Production Playwright</t>
        </is>
      </c>
      <c r="C10" s="6" t="inlineStr">
        <is>
          <t>tests/e2e/ram-2026-07-15-prod.spec.ts</t>
        </is>
      </c>
      <c r="D10" s="6" t="inlineStr">
        <is>
          <t>FAIL: lifecycle returned HTTP 200</t>
        </is>
      </c>
      <c r="E10" s="6" t="inlineStr">
        <is>
          <t>Production login, Active creation, notice workflow, disposal, and reopen executed; stale pre-reopen clearance was accepted.</t>
        </is>
      </c>
      <c r="F10" s="6" t="inlineStr">
        <is>
          <t>Production build identity unavailable; verdict remains Inconclusive.</t>
        </is>
      </c>
    </row>
    <row r="11" ht="66" customHeight="1">
      <c r="A11" s="6" t="inlineStr">
        <is>
          <t>2026-07-28</t>
        </is>
      </c>
      <c r="B11" s="6" t="inlineStr">
        <is>
          <t>Production API probe</t>
        </is>
      </c>
      <c r="C11" s="6" t="inlineStr">
        <is>
          <t>Authenticated combined notice query</t>
        </is>
      </c>
      <c r="D11" s="6" t="inlineStr">
        <is>
          <t>PASS: total=1</t>
        </is>
      </c>
      <c r="E11" s="6" t="inlineStr">
        <is>
          <t>The notice search/status/owner filter returned the newly-created record after the failed UI replay.</t>
        </is>
      </c>
      <c r="F11" s="6" t="inlineStr">
        <is>
          <t>Initial UI empty state was not reproduced; monitor rather than patch blindly.</t>
        </is>
      </c>
    </row>
    <row r="12" ht="66" customHeight="1">
      <c r="A12" s="6" t="inlineStr">
        <is>
          <t>2026-07-28</t>
        </is>
      </c>
      <c r="B12" s="6" t="inlineStr">
        <is>
          <t>Browser connector</t>
        </is>
      </c>
      <c r="C12" s="6" t="inlineStr">
        <is>
          <t>In-app browser discovery</t>
        </is>
      </c>
      <c r="D12" s="6" t="inlineStr">
        <is>
          <t>BLOCKED: unavailable</t>
        </is>
      </c>
      <c r="E12" s="6" t="inlineStr">
        <is>
          <t>No in-app browser was available on this workstation.</t>
        </is>
      </c>
      <c r="F12" s="6" t="inlineStr">
        <is>
          <t>Standalone Playwright was used instead; no claim of in-app browser proof.</t>
        </is>
      </c>
    </row>
  </sheetData>
  <autoFilter ref="A6:F1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68" customWidth="1" min="2" max="2"/>
    <col width="70" customWidth="1" min="3" max="3"/>
  </cols>
  <sheetData>
    <row r="1" ht="30" customHeight="1">
      <c r="A1" s="1" t="inlineStr">
        <is>
          <t>Why Cases Reopen</t>
        </is>
      </c>
    </row>
    <row r="2" ht="30" customHeight="1">
      <c r="A2" s="2" t="inlineStr">
        <is>
          <t>Root-cause analysis of the current CaseOps lifecycle and release-verification failure.</t>
        </is>
      </c>
    </row>
    <row r="6" ht="34" customHeight="1">
      <c r="A6" s="5" t="inlineStr">
        <is>
          <t>Control</t>
        </is>
      </c>
      <c r="B6" s="5" t="inlineStr">
        <is>
          <t>Finding</t>
        </is>
      </c>
      <c r="C6" s="5" t="inlineStr">
        <is>
          <t>Permanent rule</t>
        </is>
      </c>
    </row>
    <row r="7" ht="66" customHeight="1">
      <c r="A7" s="6" t="inlineStr">
        <is>
          <t>Authoritative transition</t>
        </is>
      </c>
      <c r="B7" s="6" t="inlineStr">
        <is>
          <t>Cases should reopen only through the dedicated Disposed -&gt; Intake lifecycle endpoint.</t>
        </is>
      </c>
      <c r="C7" s="6" t="inlineStr">
        <is>
          <t>Generic metadata PATCH, background writers, and child updates must fail closed.</t>
        </is>
      </c>
    </row>
    <row r="8" ht="66" customHeight="1">
      <c r="A8" s="6" t="inlineStr">
        <is>
          <t>Concurrency</t>
        </is>
      </c>
      <c r="B8" s="6" t="inlineStr">
        <is>
          <t>A stale browser edit must not replay an old status after another session disposes the Matter.</t>
        </is>
      </c>
      <c r="C8" s="6" t="inlineStr">
        <is>
          <t>Compare expected status and updated_at under the parent lock; return 409 on mismatch.</t>
        </is>
      </c>
    </row>
    <row r="9" ht="66" customHeight="1">
      <c r="A9" s="6" t="inlineStr">
        <is>
          <t>Reopen safety</t>
        </is>
      </c>
      <c r="B9" s="6" t="inlineStr">
        <is>
          <t>Reopen must not resurrect tasks, deadlines, hearings, reminders, or provider calendar rows.</t>
        </is>
      </c>
      <c r="C9" s="6" t="inlineStr">
        <is>
          <t>Neutralize legacy/open children while the parent is locked and keep external sync tombstones durable.</t>
        </is>
      </c>
    </row>
    <row r="10" ht="66" customHeight="1">
      <c r="A10" s="6" t="inlineStr">
        <is>
          <t>Conflict clearance</t>
        </is>
      </c>
      <c r="B10" s="6" t="inlineStr">
        <is>
          <t>The pre-reopen check must not activate a reopened Matter.</t>
        </is>
      </c>
      <c r="C10" s="6" t="inlineStr">
        <is>
          <t>Bind every check to lifecycle_version and reject checks at or before the latest reopen audit event.</t>
        </is>
      </c>
    </row>
    <row r="11" ht="66" customHeight="1">
      <c r="A11" s="6" t="inlineStr">
        <is>
          <t>Deployment drift</t>
        </is>
      </c>
      <c r="B11" s="6" t="inlineStr">
        <is>
          <t>Local branch passed the lifecycle regression; production returned 200 for the stale-clearance activation.</t>
        </is>
      </c>
      <c r="C11" s="6" t="inlineStr">
        <is>
          <t>Do not mark fixed until the candidate is deployed, build identity is proven, and the same dated production spec passes.</t>
        </is>
      </c>
    </row>
    <row r="12" ht="66" customHeight="1">
      <c r="A12" s="6" t="inlineStr">
        <is>
          <t>Product boundary</t>
        </is>
      </c>
      <c r="B12" s="6" t="inlineStr">
        <is>
          <t>The supplied workbook names Edumatica modules, not CaseOps modules.</t>
        </is>
      </c>
      <c r="C12" s="6" t="inlineStr">
        <is>
          <t>Classify external rows as out of scope; request the owning repository instead of implementing a look-alike feature.</t>
        </is>
      </c>
    </row>
  </sheetData>
  <autoFilter ref="A6:C12"/>
  <mergeCells count="2">
    <mergeCell ref="A1:C1"/>
    <mergeCell ref="A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2026-07-28T14:27:00Z</dcterms:created>
  <dcterms:modified xsi:type="dcterms:W3CDTF">2026-07-28T14:27:00Z</dcterms:modified>
</cp:coreProperties>
</file>